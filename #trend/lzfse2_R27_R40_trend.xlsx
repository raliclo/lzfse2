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w_claw-code" sheetId="1" state="visible" r:id="rId1"/>
    <sheet name="Raw_llama_cpp" sheetId="2" state="visible" r:id="rId2"/>
    <sheet name="claw-code_Speed" sheetId="3" state="visible" r:id="rId3"/>
    <sheet name="claw-code_RSS" sheetId="4" state="visible" r:id="rId4"/>
    <sheet name="claw-code_Energy" sheetId="5" state="visible" r:id="rId5"/>
    <sheet name="claw-code_CompRatio" sheetId="6" state="visible" r:id="rId6"/>
    <sheet name="llama_cpp_Speed" sheetId="7" state="visible" r:id="rId7"/>
    <sheet name="llama_cpp_RSS" sheetId="8" state="visible" r:id="rId8"/>
    <sheet name="llama_cpp_Energy" sheetId="9" state="visible" r:id="rId9"/>
    <sheet name="llama_cpp_CompRatio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3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2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2" fontId="6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claw-code — Speed (n=40)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'claw-code_Speed'!B2</f>
              <strCache>
                <ptCount val="1"/>
                <pt idx="0">
                  <v>enc-BVX3</v>
                </pt>
              </strCache>
            </strRef>
          </tx>
          <spPr>
            <a:solidFill>
              <a:srgbClr val="4472C4"/>
            </a:solidFill>
            <a:ln w="1800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'claw-code_Speed'!$A$3:$A$15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'claw-code_Speed'!$B$3:$B$15</f>
              <numCache>
                <formatCode>0.00</formatCode>
                <ptCount val="13"/>
                <pt idx="0">
                  <v>634.8200000000001</v>
                </pt>
                <pt idx="1">
                  <v>672.71</v>
                </pt>
                <pt idx="2">
                  <v>672.71</v>
                </pt>
                <pt idx="3">
                  <v>589.03</v>
                </pt>
                <pt idx="4">
                  <v>657.59</v>
                </pt>
                <pt idx="5">
                  <v>642.0599999999999</v>
                </pt>
                <pt idx="6">
                  <v>681.7</v>
                </pt>
                <pt idx="7">
                  <v>681.7</v>
                </pt>
                <pt idx="8">
                  <v>310.37</v>
                </pt>
                <pt idx="9">
                  <v>379.91</v>
                </pt>
                <pt idx="10">
                  <v>377.72</v>
                </pt>
                <pt idx="11">
                  <v>437.11</v>
                </pt>
                <pt idx="12">
                  <v>423.81</v>
                </pt>
              </numCache>
            </numRef>
          </val>
          <smooth val="1"/>
        </ser>
        <ser>
          <idx val="1"/>
          <order val="1"/>
          <tx>
            <strRef>
              <f>'claw-code_Speed'!C2</f>
              <strCache>
                <ptCount val="1"/>
                <pt idx="0">
                  <v>enc-Other3</v>
                </pt>
              </strCache>
            </strRef>
          </tx>
          <spPr>
            <a:solidFill>
              <a:srgbClr val="ED7D31"/>
            </a:solidFill>
            <a:ln w="1800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'claw-code_Speed'!$A$3:$A$15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'claw-code_Speed'!$C$3:$C$15</f>
              <numCache>
                <formatCode>0.00</formatCode>
                <ptCount val="13"/>
                <pt idx="0">
                  <v>417.11</v>
                </pt>
                <pt idx="1">
                  <v>618.34</v>
                </pt>
                <pt idx="2">
                  <v>618.34</v>
                </pt>
                <pt idx="3">
                  <v>513.14</v>
                </pt>
                <pt idx="4">
                  <v>637.91</v>
                </pt>
                <pt idx="5">
                  <v>502.96</v>
                </pt>
                <pt idx="6">
                  <v>536.98</v>
                </pt>
                <pt idx="7">
                  <v>536.98</v>
                </pt>
                <pt idx="8">
                  <v>365.75</v>
                </pt>
                <pt idx="9">
                  <v>339.47</v>
                </pt>
                <pt idx="10">
                  <v>326.06</v>
                </pt>
                <pt idx="11">
                  <v>410.93</v>
                </pt>
                <pt idx="12">
                  <v>380.06</v>
                </pt>
              </numCache>
            </numRef>
          </val>
          <smooth val="1"/>
        </ser>
        <ser>
          <idx val="2"/>
          <order val="2"/>
          <tx>
            <strRef>
              <f>'claw-code_Speed'!D2</f>
              <strCache>
                <ptCount val="1"/>
                <pt idx="0">
                  <v>enc-Lazy2</v>
                </pt>
              </strCache>
            </strRef>
          </tx>
          <spPr>
            <a:solidFill>
              <a:srgbClr val="A9D18E"/>
            </a:solidFill>
            <a:ln w="18000">
              <a:solidFill>
                <a:srgbClr val="A9D18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9D18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'claw-code_Speed'!$A$3:$A$15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'claw-code_Speed'!$D$3:$D$15</f>
              <numCache>
                <formatCode>0.00</formatCode>
                <ptCount val="13"/>
                <pt idx="0">
                  <v>55.3</v>
                </pt>
                <pt idx="1">
                  <v>66.45999999999999</v>
                </pt>
                <pt idx="2">
                  <v>66.45999999999999</v>
                </pt>
                <pt idx="3">
                  <v>69.15000000000001</v>
                </pt>
                <pt idx="4">
                  <v>68.73</v>
                </pt>
                <pt idx="5">
                  <v>67.68000000000001</v>
                </pt>
                <pt idx="6">
                  <v>66.58</v>
                </pt>
                <pt idx="7">
                  <v>66.58</v>
                </pt>
                <pt idx="8">
                  <v>64.37</v>
                </pt>
                <pt idx="9">
                  <v>66.16</v>
                </pt>
                <pt idx="10">
                  <v>67.09</v>
                </pt>
                <pt idx="11">
                  <v>69.13</v>
                </pt>
                <pt idx="12">
                  <v>68.81</v>
                </pt>
              </numCache>
            </numRef>
          </val>
          <smooth val="1"/>
        </ser>
        <ser>
          <idx val="3"/>
          <order val="3"/>
          <tx>
            <strRef>
              <f>'claw-code_Speed'!E2</f>
              <strCache>
                <ptCount val="1"/>
                <pt idx="0">
                  <v>enc-Optimal</v>
                </pt>
              </strCache>
            </strRef>
          </tx>
          <spPr>
            <a:solidFill>
              <a:srgbClr val="FF0000"/>
            </a:solidFill>
            <a:ln w="18000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'claw-code_Speed'!$A$3:$A$15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'claw-code_Speed'!$E$3:$E$15</f>
              <numCache>
                <formatCode>0.00</formatCode>
                <ptCount val="13"/>
                <pt idx="0">
                  <v>34.36</v>
                </pt>
                <pt idx="1">
                  <v>34.93</v>
                </pt>
                <pt idx="2">
                  <v>34.93</v>
                </pt>
                <pt idx="3">
                  <v>37.13</v>
                </pt>
                <pt idx="4">
                  <v>36.95</v>
                </pt>
                <pt idx="5">
                  <v>36.98</v>
                </pt>
                <pt idx="6">
                  <v>36.29</v>
                </pt>
                <pt idx="7">
                  <v>36.29</v>
                </pt>
                <pt idx="8">
                  <v>34.7</v>
                </pt>
                <pt idx="9">
                  <v>36.22</v>
                </pt>
                <pt idx="10">
                  <v>35.85</v>
                </pt>
                <pt idx="11">
                  <v>36.21</v>
                </pt>
                <pt idx="12">
                  <v>35.88</v>
                </pt>
              </numCache>
            </numRef>
          </val>
          <smooth val="1"/>
        </ser>
        <ser>
          <idx val="4"/>
          <order val="4"/>
          <tx>
            <strRef>
              <f>'claw-code_Speed'!F2</f>
              <strCache>
                <ptCount val="1"/>
                <pt idx="0">
                  <v>dec-BVX3</v>
                </pt>
              </strCache>
            </strRef>
          </tx>
          <spPr>
            <a:solidFill>
              <a:srgbClr val="7030A0"/>
            </a:solidFill>
            <a:ln w="18000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30A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'claw-code_Speed'!$A$3:$A$15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'claw-code_Speed'!$F$3:$F$15</f>
              <numCache>
                <formatCode>0.00</formatCode>
                <ptCount val="13"/>
                <pt idx="0">
                  <v>746.42</v>
                </pt>
                <pt idx="1">
                  <v>663.05</v>
                </pt>
                <pt idx="2">
                  <v>663.05</v>
                </pt>
                <pt idx="3">
                  <v>581.45</v>
                </pt>
                <pt idx="4">
                  <v>402.17</v>
                </pt>
                <pt idx="5">
                  <v>427.47</v>
                </pt>
                <pt idx="6">
                  <v>687.96</v>
                </pt>
                <pt idx="7">
                  <v>687.96</v>
                </pt>
                <pt idx="8">
                  <v>352.72</v>
                </pt>
                <pt idx="9">
                  <v>399.24</v>
                </pt>
                <pt idx="10">
                  <v>399.19</v>
                </pt>
                <pt idx="11">
                  <v>337.21</v>
                </pt>
                <pt idx="12">
                  <v>413.24</v>
                </pt>
              </numCache>
            </numRef>
          </val>
          <smooth val="1"/>
        </ser>
        <ser>
          <idx val="5"/>
          <order val="5"/>
          <tx>
            <strRef>
              <f>'claw-code_Speed'!G2</f>
              <strCache>
                <ptCount val="1"/>
                <pt idx="0">
                  <v>dec-Other3</v>
                </pt>
              </strCache>
            </strRef>
          </tx>
          <spPr>
            <a:solidFill>
              <a:srgbClr val="70AD47"/>
            </a:solidFill>
            <a:ln w="18000">
              <a:solidFill>
                <a:srgbClr val="70AD4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AD47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'claw-code_Speed'!$A$3:$A$15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'claw-code_Speed'!$G$3:$G$15</f>
              <numCache>
                <formatCode>0.00</formatCode>
                <ptCount val="13"/>
                <pt idx="0">
                  <v>729.35</v>
                </pt>
                <pt idx="1">
                  <v>763.42</v>
                </pt>
                <pt idx="2">
                  <v>763.42</v>
                </pt>
                <pt idx="3">
                  <v>736.5700000000001</v>
                </pt>
                <pt idx="4">
                  <v>729.78</v>
                </pt>
                <pt idx="5">
                  <v>705.8099999999999</v>
                </pt>
                <pt idx="6">
                  <v>758.03</v>
                </pt>
                <pt idx="7">
                  <v>758.03</v>
                </pt>
                <pt idx="8">
                  <v>343.16</v>
                </pt>
                <pt idx="9">
                  <v>424.31</v>
                </pt>
                <pt idx="10">
                  <v>389.07</v>
                </pt>
                <pt idx="11">
                  <v>328.53</v>
                </pt>
                <pt idx="12">
                  <v>424.24</v>
                </pt>
              </numCache>
            </numRef>
          </val>
          <smooth val="1"/>
        </ser>
        <ser>
          <idx val="6"/>
          <order val="6"/>
          <tx>
            <strRef>
              <f>'claw-code_Speed'!H2</f>
              <strCache>
                <ptCount val="1"/>
                <pt idx="0">
                  <v>dec-Lazy2</v>
                </pt>
              </strCache>
            </strRef>
          </tx>
          <spPr>
            <a:solidFill>
              <a:srgbClr val="FFC000"/>
            </a:solidFill>
            <a:ln w="18000">
              <a:solidFill>
                <a:srgbClr val="FFC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C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'claw-code_Speed'!$A$3:$A$15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'claw-code_Speed'!$H$3:$H$15</f>
              <numCache>
                <formatCode>0.00</formatCode>
                <ptCount val="13"/>
                <pt idx="0">
                  <v>685.2</v>
                </pt>
                <pt idx="1">
                  <v>760.3</v>
                </pt>
                <pt idx="2">
                  <v>760.3</v>
                </pt>
                <pt idx="3">
                  <v>530.51</v>
                </pt>
                <pt idx="4">
                  <v>666.3200000000001</v>
                </pt>
                <pt idx="5">
                  <v>435.97</v>
                </pt>
                <pt idx="6">
                  <v>731.77</v>
                </pt>
                <pt idx="7">
                  <v>731.77</v>
                </pt>
                <pt idx="8">
                  <v>303.39</v>
                </pt>
                <pt idx="9">
                  <v>306.51</v>
                </pt>
                <pt idx="10">
                  <v>397.82</v>
                </pt>
                <pt idx="11">
                  <v>433.61</v>
                </pt>
                <pt idx="12">
                  <v>322.2</v>
                </pt>
              </numCache>
            </numRef>
          </val>
          <smooth val="1"/>
        </ser>
        <ser>
          <idx val="7"/>
          <order val="7"/>
          <tx>
            <strRef>
              <f>'claw-code_Speed'!I2</f>
              <strCache>
                <ptCount val="1"/>
                <pt idx="0">
                  <v>dec-Optimal</v>
                </pt>
              </strCache>
            </strRef>
          </tx>
          <spPr>
            <a:solidFill>
              <a:srgbClr val="00B0F0"/>
            </a:solidFill>
            <a:ln w="18000">
              <a:solidFill>
                <a:srgbClr val="00B0F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0F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'claw-code_Speed'!$A$3:$A$15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'claw-code_Speed'!$I$3:$I$15</f>
              <numCache>
                <formatCode>0.00</formatCode>
                <ptCount val="13"/>
                <pt idx="0">
                  <v>710.15</v>
                </pt>
                <pt idx="1">
                  <v>601.02</v>
                </pt>
                <pt idx="2">
                  <v>601.02</v>
                </pt>
                <pt idx="3">
                  <v>544.35</v>
                </pt>
                <pt idx="4">
                  <v>452.8</v>
                </pt>
                <pt idx="5">
                  <v>416.81</v>
                </pt>
                <pt idx="6">
                  <v>769.09</v>
                </pt>
                <pt idx="7">
                  <v>769.09</v>
                </pt>
                <pt idx="8">
                  <v>295.47</v>
                </pt>
                <pt idx="9">
                  <v>394.35</v>
                </pt>
                <pt idx="10">
                  <v>437.1</v>
                </pt>
                <pt idx="11">
                  <v>324.08</v>
                </pt>
                <pt idx="12">
                  <v>381.9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28247459"/>
        <axId val="93087788"/>
      </lineChart>
      <catAx>
        <axId val="28247459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3087788"/>
        <crosses val="autoZero"/>
        <auto val="1"/>
        <lblAlgn val="ctr"/>
        <lblOffset val="100"/>
        <noMultiLvlLbl val="0"/>
      </catAx>
      <valAx>
        <axId val="9308778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MB/s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8247459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claw-code — RSS (n=40)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'claw-code_RSS'!B2</f>
              <strCache>
                <ptCount val="1"/>
                <pt idx="0">
                  <v>enc-BVX3</v>
                </pt>
              </strCache>
            </strRef>
          </tx>
          <spPr>
            <a:solidFill>
              <a:srgbClr val="4472C4"/>
            </a:solidFill>
            <a:ln w="1800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'claw-code_RSS'!$A$3:$A$15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'claw-code_RSS'!$B$3:$B$15</f>
              <numCache>
                <formatCode>0.00</formatCode>
                <ptCount val="13"/>
                <pt idx="0">
                  <v>350.7</v>
                </pt>
                <pt idx="1">
                  <v>366.3</v>
                </pt>
                <pt idx="2">
                  <v>366.3</v>
                </pt>
                <pt idx="3">
                  <v>372.8</v>
                </pt>
                <pt idx="4">
                  <v>355</v>
                </pt>
                <pt idx="5">
                  <v>364.7</v>
                </pt>
                <pt idx="6">
                  <v>361.2</v>
                </pt>
                <pt idx="7">
                  <v>361.2</v>
                </pt>
                <pt idx="8">
                  <v>233.1</v>
                </pt>
                <pt idx="9">
                  <v>244.6</v>
                </pt>
                <pt idx="10">
                  <v>256.6</v>
                </pt>
                <pt idx="11">
                  <v>246.7</v>
                </pt>
                <pt idx="12">
                  <v>238</v>
                </pt>
              </numCache>
            </numRef>
          </val>
          <smooth val="1"/>
        </ser>
        <ser>
          <idx val="1"/>
          <order val="1"/>
          <tx>
            <strRef>
              <f>'claw-code_RSS'!C2</f>
              <strCache>
                <ptCount val="1"/>
                <pt idx="0">
                  <v>enc-Other3</v>
                </pt>
              </strCache>
            </strRef>
          </tx>
          <spPr>
            <a:solidFill>
              <a:srgbClr val="ED7D31"/>
            </a:solidFill>
            <a:ln w="1800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'claw-code_RSS'!$A$3:$A$15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'claw-code_RSS'!$C$3:$C$15</f>
              <numCache>
                <formatCode>0.00</formatCode>
                <ptCount val="13"/>
                <pt idx="0">
                  <v>363</v>
                </pt>
                <pt idx="1">
                  <v>354.1</v>
                </pt>
                <pt idx="2">
                  <v>354.1</v>
                </pt>
                <pt idx="3">
                  <v>371.5</v>
                </pt>
                <pt idx="4">
                  <v>357.8</v>
                </pt>
                <pt idx="5">
                  <v>349.5</v>
                </pt>
                <pt idx="6">
                  <v>369.6</v>
                </pt>
                <pt idx="7">
                  <v>369.6</v>
                </pt>
                <pt idx="8">
                  <v>271</v>
                </pt>
                <pt idx="9">
                  <v>252.8</v>
                </pt>
                <pt idx="10">
                  <v>224</v>
                </pt>
                <pt idx="11">
                  <v>227.6</v>
                </pt>
                <pt idx="12">
                  <v>232.5</v>
                </pt>
              </numCache>
            </numRef>
          </val>
          <smooth val="1"/>
        </ser>
        <ser>
          <idx val="2"/>
          <order val="2"/>
          <tx>
            <strRef>
              <f>'claw-code_RSS'!D2</f>
              <strCache>
                <ptCount val="1"/>
                <pt idx="0">
                  <v>enc-Lazy2</v>
                </pt>
              </strCache>
            </strRef>
          </tx>
          <spPr>
            <a:solidFill>
              <a:srgbClr val="A9D18E"/>
            </a:solidFill>
            <a:ln w="18000">
              <a:solidFill>
                <a:srgbClr val="A9D18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9D18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'claw-code_RSS'!$A$3:$A$15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'claw-code_RSS'!$D$3:$D$15</f>
              <numCache>
                <formatCode>0.00</formatCode>
                <ptCount val="13"/>
                <pt idx="0">
                  <v>500.9</v>
                </pt>
                <pt idx="1">
                  <v>497.6</v>
                </pt>
                <pt idx="2">
                  <v>497.6</v>
                </pt>
                <pt idx="3">
                  <v>502</v>
                </pt>
                <pt idx="4">
                  <v>494.7</v>
                </pt>
                <pt idx="5">
                  <v>485.1</v>
                </pt>
                <pt idx="6">
                  <v>506.2</v>
                </pt>
                <pt idx="7">
                  <v>506.2</v>
                </pt>
                <pt idx="8">
                  <v>495.8</v>
                </pt>
                <pt idx="9">
                  <v>496.4</v>
                </pt>
                <pt idx="10">
                  <v>491.1</v>
                </pt>
                <pt idx="11">
                  <v>496.1</v>
                </pt>
                <pt idx="12">
                  <v>492.8</v>
                </pt>
              </numCache>
            </numRef>
          </val>
          <smooth val="1"/>
        </ser>
        <ser>
          <idx val="3"/>
          <order val="3"/>
          <tx>
            <strRef>
              <f>'claw-code_RSS'!E2</f>
              <strCache>
                <ptCount val="1"/>
                <pt idx="0">
                  <v>enc-Optimal</v>
                </pt>
              </strCache>
            </strRef>
          </tx>
          <spPr>
            <a:solidFill>
              <a:srgbClr val="FF0000"/>
            </a:solidFill>
            <a:ln w="18000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'claw-code_RSS'!$A$3:$A$15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'claw-code_RSS'!$E$3:$E$15</f>
              <numCache>
                <formatCode>0.00</formatCode>
                <ptCount val="13"/>
                <pt idx="0">
                  <v>570.2</v>
                </pt>
                <pt idx="1">
                  <v>558.6</v>
                </pt>
                <pt idx="2">
                  <v>558.6</v>
                </pt>
                <pt idx="3">
                  <v>580.8</v>
                </pt>
                <pt idx="4">
                  <v>572.3</v>
                </pt>
                <pt idx="5">
                  <v>544.2</v>
                </pt>
                <pt idx="6">
                  <v>572.6</v>
                </pt>
                <pt idx="7">
                  <v>572.6</v>
                </pt>
                <pt idx="8">
                  <v>578.1</v>
                </pt>
                <pt idx="9">
                  <v>572.3</v>
                </pt>
                <pt idx="10">
                  <v>564.4</v>
                </pt>
                <pt idx="11">
                  <v>561.2</v>
                </pt>
                <pt idx="12">
                  <v>581.4</v>
                </pt>
              </numCache>
            </numRef>
          </val>
          <smooth val="1"/>
        </ser>
        <ser>
          <idx val="4"/>
          <order val="4"/>
          <tx>
            <strRef>
              <f>'claw-code_RSS'!F2</f>
              <strCache>
                <ptCount val="1"/>
                <pt idx="0">
                  <v>dec-BVX3</v>
                </pt>
              </strCache>
            </strRef>
          </tx>
          <spPr>
            <a:solidFill>
              <a:srgbClr val="7030A0"/>
            </a:solidFill>
            <a:ln w="18000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30A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'claw-code_RSS'!$A$3:$A$15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'claw-code_RSS'!$F$3:$F$15</f>
              <numCache>
                <formatCode>0.00</formatCode>
                <ptCount val="13"/>
                <pt idx="0">
                  <v>315.1</v>
                </pt>
                <pt idx="1">
                  <v>315.3</v>
                </pt>
                <pt idx="2">
                  <v>315.3</v>
                </pt>
                <pt idx="3">
                  <v>318.2</v>
                </pt>
                <pt idx="4">
                  <v>322.4</v>
                </pt>
                <pt idx="5">
                  <v>322.5</v>
                </pt>
                <pt idx="6">
                  <v>322.6</v>
                </pt>
                <pt idx="7">
                  <v>322.6</v>
                </pt>
                <pt idx="8">
                  <v>324.9</v>
                </pt>
                <pt idx="9">
                  <v>324.7</v>
                </pt>
                <pt idx="10">
                  <v>323.5</v>
                </pt>
                <pt idx="11">
                  <v>323.6</v>
                </pt>
                <pt idx="12">
                  <v>324.8</v>
                </pt>
              </numCache>
            </numRef>
          </val>
          <smooth val="1"/>
        </ser>
        <ser>
          <idx val="5"/>
          <order val="5"/>
          <tx>
            <strRef>
              <f>'claw-code_RSS'!G2</f>
              <strCache>
                <ptCount val="1"/>
                <pt idx="0">
                  <v>dec-Other3</v>
                </pt>
              </strCache>
            </strRef>
          </tx>
          <spPr>
            <a:solidFill>
              <a:srgbClr val="70AD47"/>
            </a:solidFill>
            <a:ln w="18000">
              <a:solidFill>
                <a:srgbClr val="70AD4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AD47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'claw-code_RSS'!$A$3:$A$15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'claw-code_RSS'!$G$3:$G$15</f>
              <numCache>
                <formatCode>0.00</formatCode>
                <ptCount val="13"/>
                <pt idx="0">
                  <v>303.4</v>
                </pt>
                <pt idx="1">
                  <v>303.6</v>
                </pt>
                <pt idx="2">
                  <v>303.6</v>
                </pt>
                <pt idx="3">
                  <v>302.4</v>
                </pt>
                <pt idx="4">
                  <v>298.7</v>
                </pt>
                <pt idx="5">
                  <v>298.7</v>
                </pt>
                <pt idx="6">
                  <v>298.7</v>
                </pt>
                <pt idx="7">
                  <v>298.7</v>
                </pt>
                <pt idx="8">
                  <v>300.1</v>
                </pt>
                <pt idx="9">
                  <v>299.4</v>
                </pt>
                <pt idx="10">
                  <v>301</v>
                </pt>
                <pt idx="11">
                  <v>299.4</v>
                </pt>
                <pt idx="12">
                  <v>299.4</v>
                </pt>
              </numCache>
            </numRef>
          </val>
          <smooth val="1"/>
        </ser>
        <ser>
          <idx val="6"/>
          <order val="6"/>
          <tx>
            <strRef>
              <f>'claw-code_RSS'!H2</f>
              <strCache>
                <ptCount val="1"/>
                <pt idx="0">
                  <v>dec-Lazy2</v>
                </pt>
              </strCache>
            </strRef>
          </tx>
          <spPr>
            <a:solidFill>
              <a:srgbClr val="FFC000"/>
            </a:solidFill>
            <a:ln w="18000">
              <a:solidFill>
                <a:srgbClr val="FFC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C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'claw-code_RSS'!$A$3:$A$15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'claw-code_RSS'!$H$3:$H$15</f>
              <numCache>
                <formatCode>0.00</formatCode>
                <ptCount val="13"/>
                <pt idx="0">
                  <v>316</v>
                </pt>
                <pt idx="1">
                  <v>316</v>
                </pt>
                <pt idx="2">
                  <v>316</v>
                </pt>
                <pt idx="3">
                  <v>319.2</v>
                </pt>
                <pt idx="4">
                  <v>319.7</v>
                </pt>
                <pt idx="5">
                  <v>319.8</v>
                </pt>
                <pt idx="6">
                  <v>320</v>
                </pt>
                <pt idx="7">
                  <v>320</v>
                </pt>
                <pt idx="8">
                  <v>320.5</v>
                </pt>
                <pt idx="9">
                  <v>320.1</v>
                </pt>
                <pt idx="10">
                  <v>320.3</v>
                </pt>
                <pt idx="11">
                  <v>320.5</v>
                </pt>
                <pt idx="12">
                  <v>320.5</v>
                </pt>
              </numCache>
            </numRef>
          </val>
          <smooth val="1"/>
        </ser>
        <ser>
          <idx val="7"/>
          <order val="7"/>
          <tx>
            <strRef>
              <f>'claw-code_RSS'!I2</f>
              <strCache>
                <ptCount val="1"/>
                <pt idx="0">
                  <v>dec-Optimal</v>
                </pt>
              </strCache>
            </strRef>
          </tx>
          <spPr>
            <a:solidFill>
              <a:srgbClr val="00B0F0"/>
            </a:solidFill>
            <a:ln w="18000">
              <a:solidFill>
                <a:srgbClr val="00B0F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0F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'claw-code_RSS'!$A$3:$A$15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'claw-code_RSS'!$I$3:$I$15</f>
              <numCache>
                <formatCode>0.00</formatCode>
                <ptCount val="13"/>
                <pt idx="0">
                  <v>313</v>
                </pt>
                <pt idx="1">
                  <v>312.9</v>
                </pt>
                <pt idx="2">
                  <v>312.9</v>
                </pt>
                <pt idx="3">
                  <v>312.8</v>
                </pt>
                <pt idx="4">
                  <v>308.6</v>
                </pt>
                <pt idx="5">
                  <v>308.2</v>
                </pt>
                <pt idx="6">
                  <v>306.8</v>
                </pt>
                <pt idx="7">
                  <v>306.8</v>
                </pt>
                <pt idx="8">
                  <v>308</v>
                </pt>
                <pt idx="9">
                  <v>308.9</v>
                </pt>
                <pt idx="10">
                  <v>328.4</v>
                </pt>
                <pt idx="11">
                  <v>309.3</v>
                </pt>
                <pt idx="12">
                  <v>307.9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12014664"/>
        <axId val="88966524"/>
      </lineChart>
      <catAx>
        <axId val="12014664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8966524"/>
        <crosses val="autoZero"/>
        <auto val="1"/>
        <lblAlgn val="ctr"/>
        <lblOffset val="100"/>
        <noMultiLvlLbl val="0"/>
      </catAx>
      <valAx>
        <axId val="8896652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MB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201466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claw-code — Energy (n=40)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'claw-code_Energy'!B2</f>
              <strCache>
                <ptCount val="1"/>
                <pt idx="0">
                  <v>enc-BVX3</v>
                </pt>
              </strCache>
            </strRef>
          </tx>
          <spPr>
            <a:solidFill>
              <a:srgbClr val="4472C4"/>
            </a:solidFill>
            <a:ln w="1800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'claw-code_Energy'!$A$3:$A$15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'claw-code_Energy'!$B$3:$B$15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46.373344</v>
                </pt>
                <pt idx="3">
                  <v>34.633305</v>
                </pt>
                <pt idx="4">
                  <v>35.672829</v>
                </pt>
                <pt idx="5">
                  <v>34.563284</v>
                </pt>
                <pt idx="6">
                  <v>32.590001</v>
                </pt>
                <pt idx="7">
                  <v>32.590001</v>
                </pt>
                <pt idx="8">
                  <v>35.059268</v>
                </pt>
                <pt idx="9">
                  <v>44.606623</v>
                </pt>
                <pt idx="10">
                  <v>36.86923</v>
                </pt>
                <pt idx="11">
                  <v>33.447712</v>
                </pt>
                <pt idx="12">
                  <v>31.143115</v>
                </pt>
              </numCache>
            </numRef>
          </val>
          <smooth val="1"/>
        </ser>
        <ser>
          <idx val="1"/>
          <order val="1"/>
          <tx>
            <strRef>
              <f>'claw-code_Energy'!C2</f>
              <strCache>
                <ptCount val="1"/>
                <pt idx="0">
                  <v>enc-Other3</v>
                </pt>
              </strCache>
            </strRef>
          </tx>
          <spPr>
            <a:solidFill>
              <a:srgbClr val="ED7D31"/>
            </a:solidFill>
            <a:ln w="1800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'claw-code_Energy'!$A$3:$A$15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'claw-code_Energy'!$C$3:$C$15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39.064042</v>
                </pt>
                <pt idx="3">
                  <v>34.229972</v>
                </pt>
                <pt idx="4">
                  <v>33.684011</v>
                </pt>
                <pt idx="5">
                  <v>41.832219</v>
                </pt>
                <pt idx="6">
                  <v>34.858309</v>
                </pt>
                <pt idx="7">
                  <v>34.858309</v>
                </pt>
                <pt idx="8">
                  <v>36.113226</v>
                </pt>
                <pt idx="9">
                  <v>48.271205</v>
                </pt>
                <pt idx="10">
                  <v>35.854704</v>
                </pt>
                <pt idx="11">
                  <v>32.060647</v>
                </pt>
                <pt idx="12">
                  <v>32.948343</v>
                </pt>
              </numCache>
            </numRef>
          </val>
          <smooth val="1"/>
        </ser>
        <ser>
          <idx val="2"/>
          <order val="2"/>
          <tx>
            <strRef>
              <f>'claw-code_Energy'!D2</f>
              <strCache>
                <ptCount val="1"/>
                <pt idx="0">
                  <v>enc-Lazy2</v>
                </pt>
              </strCache>
            </strRef>
          </tx>
          <spPr>
            <a:solidFill>
              <a:srgbClr val="A9D18E"/>
            </a:solidFill>
            <a:ln w="18000">
              <a:solidFill>
                <a:srgbClr val="A9D18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9D18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'claw-code_Energy'!$A$3:$A$15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'claw-code_Energy'!$D$3:$D$15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200.665164</v>
                </pt>
                <pt idx="3">
                  <v>107.715221</v>
                </pt>
                <pt idx="4">
                  <v>111.234117</v>
                </pt>
                <pt idx="5">
                  <v>115.000515</v>
                </pt>
                <pt idx="6">
                  <v>126.743921</v>
                </pt>
                <pt idx="7">
                  <v>126.743921</v>
                </pt>
                <pt idx="8">
                  <v>119.950248</v>
                </pt>
                <pt idx="9">
                  <v>162.978408</v>
                </pt>
                <pt idx="10">
                  <v>113.777956</v>
                </pt>
                <pt idx="11">
                  <v>108.615497</v>
                </pt>
                <pt idx="12">
                  <v>107.230086</v>
                </pt>
              </numCache>
            </numRef>
          </val>
          <smooth val="1"/>
        </ser>
        <ser>
          <idx val="3"/>
          <order val="3"/>
          <tx>
            <strRef>
              <f>'claw-code_Energy'!E2</f>
              <strCache>
                <ptCount val="1"/>
                <pt idx="0">
                  <v>enc-Optimal</v>
                </pt>
              </strCache>
            </strRef>
          </tx>
          <spPr>
            <a:solidFill>
              <a:srgbClr val="FF0000"/>
            </a:solidFill>
            <a:ln w="18000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'claw-code_Energy'!$A$3:$A$15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'claw-code_Energy'!$E$3:$E$15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561.578849</v>
                </pt>
                <pt idx="3">
                  <v>502.751197</v>
                </pt>
                <pt idx="4">
                  <v>511.529058</v>
                </pt>
                <pt idx="5">
                  <v>513.399386</v>
                </pt>
                <pt idx="6">
                  <v>512.056876</v>
                </pt>
                <pt idx="7">
                  <v>512.056876</v>
                </pt>
                <pt idx="8">
                  <v>545.694678</v>
                </pt>
                <pt idx="9">
                  <v>602.633383</v>
                </pt>
                <pt idx="10">
                  <v>526.2955899999999</v>
                </pt>
                <pt idx="11">
                  <v>517.765164</v>
                </pt>
                <pt idx="12">
                  <v>509.584846</v>
                </pt>
              </numCache>
            </numRef>
          </val>
          <smooth val="1"/>
        </ser>
        <ser>
          <idx val="4"/>
          <order val="4"/>
          <tx>
            <strRef>
              <f>'claw-code_Energy'!F2</f>
              <strCache>
                <ptCount val="1"/>
                <pt idx="0">
                  <v>dec-BVX3</v>
                </pt>
              </strCache>
            </strRef>
          </tx>
          <spPr>
            <a:solidFill>
              <a:srgbClr val="7030A0"/>
            </a:solidFill>
            <a:ln w="18000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30A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'claw-code_Energy'!$A$3:$A$15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'claw-code_Energy'!$F$3:$F$15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2.027048</v>
                </pt>
                <pt idx="3">
                  <v>0.158688</v>
                </pt>
                <pt idx="4">
                  <v>0.069104</v>
                </pt>
                <pt idx="5">
                  <v>0.150759</v>
                </pt>
                <pt idx="6">
                  <v>0.115538</v>
                </pt>
                <pt idx="7">
                  <v>0.115538</v>
                </pt>
                <pt idx="8">
                  <v>0.611445</v>
                </pt>
                <pt idx="9">
                  <v>9.251243000000001</v>
                </pt>
                <pt idx="10">
                  <v>4.136338</v>
                </pt>
                <pt idx="11">
                  <v>0.181589</v>
                </pt>
                <pt idx="12">
                  <v>0.495293</v>
                </pt>
              </numCache>
            </numRef>
          </val>
          <smooth val="1"/>
        </ser>
        <ser>
          <idx val="5"/>
          <order val="5"/>
          <tx>
            <strRef>
              <f>'claw-code_Energy'!G2</f>
              <strCache>
                <ptCount val="1"/>
                <pt idx="0">
                  <v>dec-Other3</v>
                </pt>
              </strCache>
            </strRef>
          </tx>
          <spPr>
            <a:solidFill>
              <a:srgbClr val="70AD47"/>
            </a:solidFill>
            <a:ln w="18000">
              <a:solidFill>
                <a:srgbClr val="70AD4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AD47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'claw-code_Energy'!$A$3:$A$15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'claw-code_Energy'!$G$3:$G$15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0.08619400000000001</v>
                </pt>
                <pt idx="4">
                  <v>0.07176100000000001</v>
                </pt>
                <pt idx="5">
                  <v>0.492021</v>
                </pt>
                <pt idx="6">
                  <v>0.55181</v>
                </pt>
                <pt idx="7">
                  <v>0.55181</v>
                </pt>
                <pt idx="8">
                  <v>1.301037</v>
                </pt>
                <pt idx="9">
                  <v>7.105547</v>
                </pt>
                <pt idx="10">
                  <v>2.926486</v>
                </pt>
                <pt idx="11">
                  <v>0.538871</v>
                </pt>
                <pt idx="12">
                  <v>0.037381</v>
                </pt>
              </numCache>
            </numRef>
          </val>
          <smooth val="1"/>
        </ser>
        <ser>
          <idx val="6"/>
          <order val="6"/>
          <tx>
            <strRef>
              <f>'claw-code_Energy'!H2</f>
              <strCache>
                <ptCount val="1"/>
                <pt idx="0">
                  <v>dec-Lazy2</v>
                </pt>
              </strCache>
            </strRef>
          </tx>
          <spPr>
            <a:solidFill>
              <a:srgbClr val="FFC000"/>
            </a:solidFill>
            <a:ln w="18000">
              <a:solidFill>
                <a:srgbClr val="FFC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C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'claw-code_Energy'!$A$3:$A$15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'claw-code_Energy'!$H$3:$H$15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1.337064</v>
                </pt>
                <pt idx="3">
                  <v>0.09558</v>
                </pt>
                <pt idx="4">
                  <v>0.085762</v>
                </pt>
                <pt idx="5">
                  <v>0.200182</v>
                </pt>
                <pt idx="6">
                  <v>0.279663</v>
                </pt>
                <pt idx="7">
                  <v>0.279663</v>
                </pt>
                <pt idx="8">
                  <v>0.213935</v>
                </pt>
                <pt idx="9">
                  <v>8.508665000000001</v>
                </pt>
                <pt idx="10">
                  <v>4.087921</v>
                </pt>
                <pt idx="11">
                  <v>0.254568</v>
                </pt>
                <pt idx="12">
                  <v>0.065316</v>
                </pt>
              </numCache>
            </numRef>
          </val>
          <smooth val="1"/>
        </ser>
        <ser>
          <idx val="7"/>
          <order val="7"/>
          <tx>
            <strRef>
              <f>'claw-code_Energy'!I2</f>
              <strCache>
                <ptCount val="1"/>
                <pt idx="0">
                  <v>dec-Optimal</v>
                </pt>
              </strCache>
            </strRef>
          </tx>
          <spPr>
            <a:solidFill>
              <a:srgbClr val="00B0F0"/>
            </a:solidFill>
            <a:ln w="18000">
              <a:solidFill>
                <a:srgbClr val="00B0F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0F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'claw-code_Energy'!$A$3:$A$15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'claw-code_Energy'!$I$3:$I$15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0.746398</v>
                </pt>
                <pt idx="3">
                  <v>0.086997</v>
                </pt>
                <pt idx="4">
                  <v>0.062455</v>
                </pt>
                <pt idx="5">
                  <v>0.420946</v>
                </pt>
                <pt idx="6">
                  <v>0.726997</v>
                </pt>
                <pt idx="7">
                  <v>0.726997</v>
                </pt>
                <pt idx="8">
                  <v>0.288417</v>
                </pt>
                <pt idx="9">
                  <v>8.389544000000001</v>
                </pt>
                <pt idx="10">
                  <v>3.907384</v>
                </pt>
                <pt idx="11">
                  <v>0.253861</v>
                </pt>
                <pt idx="12">
                  <v>0.031139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44850676"/>
        <axId val="76468894"/>
      </lineChart>
      <catAx>
        <axId val="44850676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6468894"/>
        <crosses val="autoZero"/>
        <auto val="1"/>
        <lblAlgn val="ctr"/>
        <lblOffset val="100"/>
        <noMultiLvlLbl val="0"/>
      </catAx>
      <valAx>
        <axId val="7646889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Joules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4850676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claw-code — CompRatio (n=40)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'claw-code_CompRatio'!B2</f>
              <strCache>
                <ptCount val="1"/>
                <pt idx="0">
                  <v>BVX3</v>
                </pt>
              </strCache>
            </strRef>
          </tx>
          <spPr>
            <a:solidFill>
              <a:srgbClr val="4472C4"/>
            </a:solidFill>
            <a:ln w="1800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'claw-code_CompRatio'!$A$3:$A$15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'claw-code_CompRatio'!$B$3:$B$15</f>
              <numCache>
                <formatCode>0.00</formatCode>
                <ptCount val="13"/>
                <pt idx="0">
                  <v>0.9515</v>
                </pt>
                <pt idx="1">
                  <v>0.9515</v>
                </pt>
                <pt idx="2">
                  <v>0.9515</v>
                </pt>
                <pt idx="3">
                  <v>0.9515</v>
                </pt>
                <pt idx="4">
                  <v>0.9516</v>
                </pt>
                <pt idx="5">
                  <v>0.9516</v>
                </pt>
                <pt idx="6">
                  <v>0.9516</v>
                </pt>
                <pt idx="7">
                  <v>0.9516</v>
                </pt>
                <pt idx="8">
                  <v>0.9492</v>
                </pt>
                <pt idx="9">
                  <v>0.9492</v>
                </pt>
                <pt idx="10">
                  <v>0.9492</v>
                </pt>
                <pt idx="11">
                  <v>0.9492</v>
                </pt>
                <pt idx="12">
                  <v>0.9492</v>
                </pt>
              </numCache>
            </numRef>
          </val>
          <smooth val="1"/>
        </ser>
        <ser>
          <idx val="1"/>
          <order val="1"/>
          <tx>
            <strRef>
              <f>'claw-code_CompRatio'!C2</f>
              <strCache>
                <ptCount val="1"/>
                <pt idx="0">
                  <v>Other3</v>
                </pt>
              </strCache>
            </strRef>
          </tx>
          <spPr>
            <a:solidFill>
              <a:srgbClr val="ED7D31"/>
            </a:solidFill>
            <a:ln w="1800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'claw-code_CompRatio'!$A$3:$A$15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'claw-code_CompRatio'!$C$3:$C$15</f>
              <numCache>
                <formatCode>0.00</formatCode>
                <ptCount val="13"/>
                <pt idx="0">
                  <v>0.9872</v>
                </pt>
                <pt idx="1">
                  <v>0.9872</v>
                </pt>
                <pt idx="2">
                  <v>0.9872</v>
                </pt>
                <pt idx="3">
                  <v>0.9872</v>
                </pt>
                <pt idx="4">
                  <v>0.9871</v>
                </pt>
                <pt idx="5">
                  <v>0.9871</v>
                </pt>
                <pt idx="6">
                  <v>0.9871</v>
                </pt>
                <pt idx="7">
                  <v>0.9871</v>
                </pt>
                <pt idx="8">
                  <v>0.9865</v>
                </pt>
                <pt idx="9">
                  <v>0.9865</v>
                </pt>
                <pt idx="10">
                  <v>0.9865</v>
                </pt>
                <pt idx="11">
                  <v>0.9865</v>
                </pt>
                <pt idx="12">
                  <v>0.9865</v>
                </pt>
              </numCache>
            </numRef>
          </val>
          <smooth val="1"/>
        </ser>
        <ser>
          <idx val="2"/>
          <order val="2"/>
          <tx>
            <strRef>
              <f>'claw-code_CompRatio'!D2</f>
              <strCache>
                <ptCount val="1"/>
                <pt idx="0">
                  <v>Lazy2</v>
                </pt>
              </strCache>
            </strRef>
          </tx>
          <spPr>
            <a:solidFill>
              <a:srgbClr val="A9D18E"/>
            </a:solidFill>
            <a:ln w="18000">
              <a:solidFill>
                <a:srgbClr val="A9D18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9D18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'claw-code_CompRatio'!$A$3:$A$15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'claw-code_CompRatio'!$D$3:$D$15</f>
              <numCache>
                <formatCode>0.00</formatCode>
                <ptCount val="13"/>
                <pt idx="0">
                  <v>0.9016</v>
                </pt>
                <pt idx="1">
                  <v>0.9016</v>
                </pt>
                <pt idx="2">
                  <v>0.9016</v>
                </pt>
                <pt idx="3">
                  <v>0.9016</v>
                </pt>
                <pt idx="4">
                  <v>0.9013</v>
                </pt>
                <pt idx="5">
                  <v>0.9013</v>
                </pt>
                <pt idx="6">
                  <v>0.9013</v>
                </pt>
                <pt idx="7">
                  <v>0.9013</v>
                </pt>
                <pt idx="8">
                  <v>0.8998</v>
                </pt>
                <pt idx="9">
                  <v>0.8998</v>
                </pt>
                <pt idx="10">
                  <v>0.8998</v>
                </pt>
                <pt idx="11">
                  <v>0.8998</v>
                </pt>
                <pt idx="12">
                  <v>0.8998</v>
                </pt>
              </numCache>
            </numRef>
          </val>
          <smooth val="1"/>
        </ser>
        <ser>
          <idx val="3"/>
          <order val="3"/>
          <tx>
            <strRef>
              <f>'claw-code_CompRatio'!E2</f>
              <strCache>
                <ptCount val="1"/>
                <pt idx="0">
                  <v>Optimal</v>
                </pt>
              </strCache>
            </strRef>
          </tx>
          <spPr>
            <a:solidFill>
              <a:srgbClr val="FF0000"/>
            </a:solidFill>
            <a:ln w="18000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'claw-code_CompRatio'!$A$3:$A$15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'claw-code_CompRatio'!$E$3:$E$15</f>
              <numCache>
                <formatCode>0.00</formatCode>
                <ptCount val="13"/>
                <pt idx="0">
                  <v>0.859</v>
                </pt>
                <pt idx="1">
                  <v>0.859</v>
                </pt>
                <pt idx="2">
                  <v>0.859</v>
                </pt>
                <pt idx="3">
                  <v>0.859</v>
                </pt>
                <pt idx="4">
                  <v>0.859</v>
                </pt>
                <pt idx="5">
                  <v>0.8605</v>
                </pt>
                <pt idx="6">
                  <v>0.8633</v>
                </pt>
                <pt idx="7">
                  <v>0.8633</v>
                </pt>
                <pt idx="8">
                  <v>0.859</v>
                </pt>
                <pt idx="9">
                  <v>0.859</v>
                </pt>
                <pt idx="10">
                  <v>0.859</v>
                </pt>
                <pt idx="11">
                  <v>0.859</v>
                </pt>
                <pt idx="12">
                  <v>0.859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53372388"/>
        <axId val="46511161"/>
      </lineChart>
      <catAx>
        <axId val="53372388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6511161"/>
        <crosses val="autoZero"/>
        <auto val="1"/>
        <lblAlgn val="ctr"/>
        <lblOffset val="100"/>
        <noMultiLvlLbl val="0"/>
      </catAx>
      <valAx>
        <axId val="4651116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Ratio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3372388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llama.cpp — Speed (n=40)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llama_cpp_Speed!B2</f>
              <strCache>
                <ptCount val="1"/>
                <pt idx="0">
                  <v>enc-BVX3</v>
                </pt>
              </strCache>
            </strRef>
          </tx>
          <spPr>
            <a:solidFill>
              <a:srgbClr val="4472C4"/>
            </a:solidFill>
            <a:ln w="1800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llama_cpp_Speed!$A$3:$A$15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llama_cpp_Speed!$B$3:$B$15</f>
              <numCache>
                <formatCode>0.00</formatCode>
                <ptCount val="13"/>
                <pt idx="0">
                  <v>398.7</v>
                </pt>
                <pt idx="1">
                  <v>448.98</v>
                </pt>
                <pt idx="2">
                  <v>448.98</v>
                </pt>
                <pt idx="3">
                  <v>390.68</v>
                </pt>
                <pt idx="4">
                  <v>303.87</v>
                </pt>
                <pt idx="5">
                  <v>301.7</v>
                </pt>
                <pt idx="6">
                  <v>433.57</v>
                </pt>
                <pt idx="7">
                  <v>433.57</v>
                </pt>
                <pt idx="8">
                  <v>95.53</v>
                </pt>
                <pt idx="9">
                  <v>100.93</v>
                </pt>
                <pt idx="10">
                  <v>88.54000000000001</v>
                </pt>
                <pt idx="11">
                  <v>96.31</v>
                </pt>
                <pt idx="12">
                  <v>95.39</v>
                </pt>
              </numCache>
            </numRef>
          </val>
          <smooth val="1"/>
        </ser>
        <ser>
          <idx val="1"/>
          <order val="1"/>
          <tx>
            <strRef>
              <f>llama_cpp_Speed!C2</f>
              <strCache>
                <ptCount val="1"/>
                <pt idx="0">
                  <v>enc-Other3</v>
                </pt>
              </strCache>
            </strRef>
          </tx>
          <spPr>
            <a:solidFill>
              <a:srgbClr val="ED7D31"/>
            </a:solidFill>
            <a:ln w="1800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llama_cpp_Speed!$A$3:$A$15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llama_cpp_Speed!$C$3:$C$15</f>
              <numCache>
                <formatCode>0.00</formatCode>
                <ptCount val="13"/>
                <pt idx="0">
                  <v>423.41</v>
                </pt>
                <pt idx="1">
                  <v>455.4</v>
                </pt>
                <pt idx="2">
                  <v>455.4</v>
                </pt>
                <pt idx="3">
                  <v>405.58</v>
                </pt>
                <pt idx="4">
                  <v>282.85</v>
                </pt>
                <pt idx="5">
                  <v>281.67</v>
                </pt>
                <pt idx="6">
                  <v>455.81</v>
                </pt>
                <pt idx="7">
                  <v>455.81</v>
                </pt>
                <pt idx="8">
                  <v>95.29000000000001</v>
                </pt>
                <pt idx="9">
                  <v>100.78</v>
                </pt>
                <pt idx="10">
                  <v>88.43000000000001</v>
                </pt>
                <pt idx="11">
                  <v>98.58</v>
                </pt>
                <pt idx="12">
                  <v>96.05</v>
                </pt>
              </numCache>
            </numRef>
          </val>
          <smooth val="1"/>
        </ser>
        <ser>
          <idx val="2"/>
          <order val="2"/>
          <tx>
            <strRef>
              <f>llama_cpp_Speed!D2</f>
              <strCache>
                <ptCount val="1"/>
                <pt idx="0">
                  <v>enc-Lazy2</v>
                </pt>
              </strCache>
            </strRef>
          </tx>
          <spPr>
            <a:solidFill>
              <a:srgbClr val="A9D18E"/>
            </a:solidFill>
            <a:ln w="18000">
              <a:solidFill>
                <a:srgbClr val="A9D18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9D18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llama_cpp_Speed!$A$3:$A$15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llama_cpp_Speed!$D$3:$D$15</f>
              <numCache>
                <formatCode>0.00</formatCode>
                <ptCount val="13"/>
                <pt idx="0">
                  <v>186.98</v>
                </pt>
                <pt idx="1">
                  <v>193.22</v>
                </pt>
                <pt idx="2">
                  <v>193.22</v>
                </pt>
                <pt idx="3">
                  <v>189.14</v>
                </pt>
                <pt idx="4">
                  <v>176.72</v>
                </pt>
                <pt idx="5">
                  <v>177.5</v>
                </pt>
                <pt idx="6">
                  <v>198.03</v>
                </pt>
                <pt idx="7">
                  <v>198.03</v>
                </pt>
                <pt idx="8">
                  <v>85.25</v>
                </pt>
                <pt idx="9">
                  <v>91.11</v>
                </pt>
                <pt idx="10">
                  <v>83.09</v>
                </pt>
                <pt idx="11">
                  <v>89.04000000000001</v>
                </pt>
                <pt idx="12">
                  <v>87.36</v>
                </pt>
              </numCache>
            </numRef>
          </val>
          <smooth val="1"/>
        </ser>
        <ser>
          <idx val="3"/>
          <order val="3"/>
          <tx>
            <strRef>
              <f>llama_cpp_Speed!E2</f>
              <strCache>
                <ptCount val="1"/>
                <pt idx="0">
                  <v>enc-Optimal</v>
                </pt>
              </strCache>
            </strRef>
          </tx>
          <spPr>
            <a:solidFill>
              <a:srgbClr val="FF0000"/>
            </a:solidFill>
            <a:ln w="18000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llama_cpp_Speed!$A$3:$A$15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llama_cpp_Speed!$E$3:$E$15</f>
              <numCache>
                <formatCode>0.00</formatCode>
                <ptCount val="13"/>
                <pt idx="0">
                  <v>60.24</v>
                </pt>
                <pt idx="1">
                  <v>60.67</v>
                </pt>
                <pt idx="2">
                  <v>60.67</v>
                </pt>
                <pt idx="3">
                  <v>60.78</v>
                </pt>
                <pt idx="4">
                  <v>59.65</v>
                </pt>
                <pt idx="5">
                  <v>59.66</v>
                </pt>
                <pt idx="6">
                  <v>60.06</v>
                </pt>
                <pt idx="7">
                  <v>60.06</v>
                </pt>
                <pt idx="8">
                  <v>49.89</v>
                </pt>
                <pt idx="9">
                  <v>50.42</v>
                </pt>
                <pt idx="10">
                  <v>49.85</v>
                </pt>
                <pt idx="11">
                  <v>50.42</v>
                </pt>
                <pt idx="12">
                  <v>50.12</v>
                </pt>
              </numCache>
            </numRef>
          </val>
          <smooth val="1"/>
        </ser>
        <ser>
          <idx val="4"/>
          <order val="4"/>
          <tx>
            <strRef>
              <f>llama_cpp_Speed!F2</f>
              <strCache>
                <ptCount val="1"/>
                <pt idx="0">
                  <v>dec-BVX3</v>
                </pt>
              </strCache>
            </strRef>
          </tx>
          <spPr>
            <a:solidFill>
              <a:srgbClr val="7030A0"/>
            </a:solidFill>
            <a:ln w="18000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30A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llama_cpp_Speed!$A$3:$A$15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llama_cpp_Speed!$F$3:$F$15</f>
              <numCache>
                <formatCode>0.00</formatCode>
                <ptCount val="13"/>
                <pt idx="0">
                  <v>292.37</v>
                </pt>
                <pt idx="1">
                  <v>224.37</v>
                </pt>
                <pt idx="2">
                  <v>224.37</v>
                </pt>
                <pt idx="3">
                  <v>197.82</v>
                </pt>
                <pt idx="4">
                  <v>272.96</v>
                </pt>
                <pt idx="5">
                  <v>204.91</v>
                </pt>
                <pt idx="6">
                  <v>291.52</v>
                </pt>
                <pt idx="7">
                  <v>291.52</v>
                </pt>
                <pt idx="8">
                  <v>87.54000000000001</v>
                </pt>
                <pt idx="9">
                  <v>86.31999999999999</v>
                </pt>
                <pt idx="10">
                  <v>86.45999999999999</v>
                </pt>
                <pt idx="11">
                  <v>84.08</v>
                </pt>
                <pt idx="12">
                  <v>84.36</v>
                </pt>
              </numCache>
            </numRef>
          </val>
          <smooth val="1"/>
        </ser>
        <ser>
          <idx val="5"/>
          <order val="5"/>
          <tx>
            <strRef>
              <f>llama_cpp_Speed!G2</f>
              <strCache>
                <ptCount val="1"/>
                <pt idx="0">
                  <v>dec-Other3</v>
                </pt>
              </strCache>
            </strRef>
          </tx>
          <spPr>
            <a:solidFill>
              <a:srgbClr val="70AD47"/>
            </a:solidFill>
            <a:ln w="18000">
              <a:solidFill>
                <a:srgbClr val="70AD4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AD47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llama_cpp_Speed!$A$3:$A$15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llama_cpp_Speed!$G$3:$G$15</f>
              <numCache>
                <formatCode>0.00</formatCode>
                <ptCount val="13"/>
                <pt idx="0">
                  <v>283.07</v>
                </pt>
                <pt idx="1">
                  <v>270.46</v>
                </pt>
                <pt idx="2">
                  <v>270.46</v>
                </pt>
                <pt idx="3">
                  <v>242.99</v>
                </pt>
                <pt idx="4">
                  <v>230.02</v>
                </pt>
                <pt idx="5">
                  <v>257.14</v>
                </pt>
                <pt idx="6">
                  <v>277.42</v>
                </pt>
                <pt idx="7">
                  <v>277.42</v>
                </pt>
                <pt idx="8">
                  <v>87.79000000000001</v>
                </pt>
                <pt idx="9">
                  <v>83.84</v>
                </pt>
                <pt idx="10">
                  <v>86.81</v>
                </pt>
                <pt idx="11">
                  <v>88.47</v>
                </pt>
                <pt idx="12">
                  <v>83.36</v>
                </pt>
              </numCache>
            </numRef>
          </val>
          <smooth val="1"/>
        </ser>
        <ser>
          <idx val="6"/>
          <order val="6"/>
          <tx>
            <strRef>
              <f>llama_cpp_Speed!H2</f>
              <strCache>
                <ptCount val="1"/>
                <pt idx="0">
                  <v>dec-Lazy2</v>
                </pt>
              </strCache>
            </strRef>
          </tx>
          <spPr>
            <a:solidFill>
              <a:srgbClr val="FFC000"/>
            </a:solidFill>
            <a:ln w="18000">
              <a:solidFill>
                <a:srgbClr val="FFC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C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llama_cpp_Speed!$A$3:$A$15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llama_cpp_Speed!$H$3:$H$15</f>
              <numCache>
                <formatCode>0.00</formatCode>
                <ptCount val="13"/>
                <pt idx="0">
                  <v>308.44</v>
                </pt>
                <pt idx="1">
                  <v>294.54</v>
                </pt>
                <pt idx="2">
                  <v>294.54</v>
                </pt>
                <pt idx="3">
                  <v>268.03</v>
                </pt>
                <pt idx="4">
                  <v>239.65</v>
                </pt>
                <pt idx="5">
                  <v>296.45</v>
                </pt>
                <pt idx="6">
                  <v>288.38</v>
                </pt>
                <pt idx="7">
                  <v>288.38</v>
                </pt>
                <pt idx="8">
                  <v>89.38</v>
                </pt>
                <pt idx="9">
                  <v>83.31</v>
                </pt>
                <pt idx="10">
                  <v>88.67</v>
                </pt>
                <pt idx="11">
                  <v>87.77</v>
                </pt>
                <pt idx="12">
                  <v>85.93000000000001</v>
                </pt>
              </numCache>
            </numRef>
          </val>
          <smooth val="1"/>
        </ser>
        <ser>
          <idx val="7"/>
          <order val="7"/>
          <tx>
            <strRef>
              <f>llama_cpp_Speed!I2</f>
              <strCache>
                <ptCount val="1"/>
                <pt idx="0">
                  <v>dec-Optimal</v>
                </pt>
              </strCache>
            </strRef>
          </tx>
          <spPr>
            <a:solidFill>
              <a:srgbClr val="00B0F0"/>
            </a:solidFill>
            <a:ln w="18000">
              <a:solidFill>
                <a:srgbClr val="00B0F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0F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llama_cpp_Speed!$A$3:$A$15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llama_cpp_Speed!$I$3:$I$15</f>
              <numCache>
                <formatCode>0.00</formatCode>
                <ptCount val="13"/>
                <pt idx="0">
                  <v>300.49</v>
                </pt>
                <pt idx="1">
                  <v>235.02</v>
                </pt>
                <pt idx="2">
                  <v>235.02</v>
                </pt>
                <pt idx="3">
                  <v>225.28</v>
                </pt>
                <pt idx="4">
                  <v>247.02</v>
                </pt>
                <pt idx="5">
                  <v>217.65</v>
                </pt>
                <pt idx="6">
                  <v>287.14</v>
                </pt>
                <pt idx="7">
                  <v>287.14</v>
                </pt>
                <pt idx="8">
                  <v>88.28</v>
                </pt>
                <pt idx="9">
                  <v>84.65000000000001</v>
                </pt>
                <pt idx="10">
                  <v>89.25</v>
                </pt>
                <pt idx="11">
                  <v>81.63</v>
                </pt>
                <pt idx="12">
                  <v>85.93000000000001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57180252"/>
        <axId val="72170500"/>
      </lineChart>
      <catAx>
        <axId val="57180252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2170500"/>
        <crosses val="autoZero"/>
        <auto val="1"/>
        <lblAlgn val="ctr"/>
        <lblOffset val="100"/>
        <noMultiLvlLbl val="0"/>
      </catAx>
      <valAx>
        <axId val="7217050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MB/s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7180252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llama.cpp — RSS (n=40)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llama_cpp_RSS!B2</f>
              <strCache>
                <ptCount val="1"/>
                <pt idx="0">
                  <v>enc-BVX3</v>
                </pt>
              </strCache>
            </strRef>
          </tx>
          <spPr>
            <a:solidFill>
              <a:srgbClr val="4472C4"/>
            </a:solidFill>
            <a:ln w="1800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llama_cpp_RSS!$A$3:$A$15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llama_cpp_RSS!$B$3:$B$15</f>
              <numCache>
                <formatCode>0.00</formatCode>
                <ptCount val="13"/>
                <pt idx="0">
                  <v>394.2</v>
                </pt>
                <pt idx="1">
                  <v>380.2</v>
                </pt>
                <pt idx="2">
                  <v>380.2</v>
                </pt>
                <pt idx="3">
                  <v>361.4</v>
                </pt>
                <pt idx="4">
                  <v>365.4</v>
                </pt>
                <pt idx="5">
                  <v>376.8</v>
                </pt>
                <pt idx="6">
                  <v>367.5</v>
                </pt>
                <pt idx="7">
                  <v>367.5</v>
                </pt>
                <pt idx="8">
                  <v>347</v>
                </pt>
                <pt idx="9">
                  <v>347.8</v>
                </pt>
                <pt idx="10">
                  <v>343.5</v>
                </pt>
                <pt idx="11">
                  <v>355.3</v>
                </pt>
                <pt idx="12">
                  <v>336.4</v>
                </pt>
              </numCache>
            </numRef>
          </val>
          <smooth val="1"/>
        </ser>
        <ser>
          <idx val="1"/>
          <order val="1"/>
          <tx>
            <strRef>
              <f>llama_cpp_RSS!C2</f>
              <strCache>
                <ptCount val="1"/>
                <pt idx="0">
                  <v>enc-Other3</v>
                </pt>
              </strCache>
            </strRef>
          </tx>
          <spPr>
            <a:solidFill>
              <a:srgbClr val="ED7D31"/>
            </a:solidFill>
            <a:ln w="1800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llama_cpp_RSS!$A$3:$A$15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llama_cpp_RSS!$C$3:$C$15</f>
              <numCache>
                <formatCode>0.00</formatCode>
                <ptCount val="13"/>
                <pt idx="0">
                  <v>271.5</v>
                </pt>
                <pt idx="1">
                  <v>385.1</v>
                </pt>
                <pt idx="2">
                  <v>385.1</v>
                </pt>
                <pt idx="3">
                  <v>356.8</v>
                </pt>
                <pt idx="4">
                  <v>368.6</v>
                </pt>
                <pt idx="5">
                  <v>389.5</v>
                </pt>
                <pt idx="6">
                  <v>370.3</v>
                </pt>
                <pt idx="7">
                  <v>370.3</v>
                </pt>
                <pt idx="8">
                  <v>348.3</v>
                </pt>
                <pt idx="9">
                  <v>340.4</v>
                </pt>
                <pt idx="10">
                  <v>349.4</v>
                </pt>
                <pt idx="11">
                  <v>335.5</v>
                </pt>
                <pt idx="12">
                  <v>288.5</v>
                </pt>
              </numCache>
            </numRef>
          </val>
          <smooth val="1"/>
        </ser>
        <ser>
          <idx val="2"/>
          <order val="2"/>
          <tx>
            <strRef>
              <f>llama_cpp_RSS!D2</f>
              <strCache>
                <ptCount val="1"/>
                <pt idx="0">
                  <v>enc-Lazy2</v>
                </pt>
              </strCache>
            </strRef>
          </tx>
          <spPr>
            <a:solidFill>
              <a:srgbClr val="A9D18E"/>
            </a:solidFill>
            <a:ln w="18000">
              <a:solidFill>
                <a:srgbClr val="A9D18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9D18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llama_cpp_RSS!$A$3:$A$15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llama_cpp_RSS!$D$3:$D$15</f>
              <numCache>
                <formatCode>0.00</formatCode>
                <ptCount val="13"/>
                <pt idx="0">
                  <v>518.3</v>
                </pt>
                <pt idx="1">
                  <v>515.8</v>
                </pt>
                <pt idx="2">
                  <v>515.8</v>
                </pt>
                <pt idx="3">
                  <v>531.2</v>
                </pt>
                <pt idx="4">
                  <v>518.3</v>
                </pt>
                <pt idx="5">
                  <v>500.4</v>
                </pt>
                <pt idx="6">
                  <v>517.2</v>
                </pt>
                <pt idx="7">
                  <v>517.2</v>
                </pt>
                <pt idx="8">
                  <v>497</v>
                </pt>
                <pt idx="9">
                  <v>464.4</v>
                </pt>
                <pt idx="10">
                  <v>487.4</v>
                </pt>
                <pt idx="11">
                  <v>481.8</v>
                </pt>
                <pt idx="12">
                  <v>486.2</v>
                </pt>
              </numCache>
            </numRef>
          </val>
          <smooth val="1"/>
        </ser>
        <ser>
          <idx val="3"/>
          <order val="3"/>
          <tx>
            <strRef>
              <f>llama_cpp_RSS!E2</f>
              <strCache>
                <ptCount val="1"/>
                <pt idx="0">
                  <v>enc-Optimal</v>
                </pt>
              </strCache>
            </strRef>
          </tx>
          <spPr>
            <a:solidFill>
              <a:srgbClr val="FF0000"/>
            </a:solidFill>
            <a:ln w="18000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llama_cpp_RSS!$A$3:$A$15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llama_cpp_RSS!$E$3:$E$15</f>
              <numCache>
                <formatCode>0.00</formatCode>
                <ptCount val="13"/>
                <pt idx="0">
                  <v>572.8</v>
                </pt>
                <pt idx="1">
                  <v>581.1</v>
                </pt>
                <pt idx="2">
                  <v>581.1</v>
                </pt>
                <pt idx="3">
                  <v>600.9</v>
                </pt>
                <pt idx="4">
                  <v>586.9</v>
                </pt>
                <pt idx="5">
                  <v>577.3</v>
                </pt>
                <pt idx="6">
                  <v>604.2</v>
                </pt>
                <pt idx="7">
                  <v>604.2</v>
                </pt>
                <pt idx="8">
                  <v>587.2</v>
                </pt>
                <pt idx="9">
                  <v>563.5</v>
                </pt>
                <pt idx="10">
                  <v>600.6</v>
                </pt>
                <pt idx="11">
                  <v>597.2</v>
                </pt>
                <pt idx="12">
                  <v>579.2</v>
                </pt>
              </numCache>
            </numRef>
          </val>
          <smooth val="1"/>
        </ser>
        <ser>
          <idx val="4"/>
          <order val="4"/>
          <tx>
            <strRef>
              <f>llama_cpp_RSS!F2</f>
              <strCache>
                <ptCount val="1"/>
                <pt idx="0">
                  <v>dec-BVX3</v>
                </pt>
              </strCache>
            </strRef>
          </tx>
          <spPr>
            <a:solidFill>
              <a:srgbClr val="7030A0"/>
            </a:solidFill>
            <a:ln w="18000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30A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llama_cpp_RSS!$A$3:$A$15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llama_cpp_RSS!$F$3:$F$15</f>
              <numCache>
                <formatCode>0.00</formatCode>
                <ptCount val="13"/>
                <pt idx="0">
                  <v>344.2</v>
                </pt>
                <pt idx="1">
                  <v>343.2</v>
                </pt>
                <pt idx="2">
                  <v>343.2</v>
                </pt>
                <pt idx="3">
                  <v>351.3</v>
                </pt>
                <pt idx="4">
                  <v>351.2</v>
                </pt>
                <pt idx="5">
                  <v>351</v>
                </pt>
                <pt idx="6">
                  <v>351.1</v>
                </pt>
                <pt idx="7">
                  <v>351.1</v>
                </pt>
                <pt idx="8">
                  <v>351.4</v>
                </pt>
                <pt idx="9">
                  <v>351.2</v>
                </pt>
                <pt idx="10">
                  <v>350.9</v>
                </pt>
                <pt idx="11">
                  <v>351.3</v>
                </pt>
                <pt idx="12">
                  <v>351.3</v>
                </pt>
              </numCache>
            </numRef>
          </val>
          <smooth val="1"/>
        </ser>
        <ser>
          <idx val="5"/>
          <order val="5"/>
          <tx>
            <strRef>
              <f>llama_cpp_RSS!G2</f>
              <strCache>
                <ptCount val="1"/>
                <pt idx="0">
                  <v>dec-Other3</v>
                </pt>
              </strCache>
            </strRef>
          </tx>
          <spPr>
            <a:solidFill>
              <a:srgbClr val="70AD47"/>
            </a:solidFill>
            <a:ln w="18000">
              <a:solidFill>
                <a:srgbClr val="70AD4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AD47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llama_cpp_RSS!$A$3:$A$15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llama_cpp_RSS!$G$3:$G$15</f>
              <numCache>
                <formatCode>0.00</formatCode>
                <ptCount val="13"/>
                <pt idx="0">
                  <v>341.3</v>
                </pt>
                <pt idx="1">
                  <v>341.5</v>
                </pt>
                <pt idx="2">
                  <v>341.5</v>
                </pt>
                <pt idx="3">
                  <v>349.3</v>
                </pt>
                <pt idx="4">
                  <v>349.3</v>
                </pt>
                <pt idx="5">
                  <v>349.2</v>
                </pt>
                <pt idx="6">
                  <v>349.4</v>
                </pt>
                <pt idx="7">
                  <v>349.4</v>
                </pt>
                <pt idx="8">
                  <v>349.1</v>
                </pt>
                <pt idx="9">
                  <v>349</v>
                </pt>
                <pt idx="10">
                  <v>349</v>
                </pt>
                <pt idx="11">
                  <v>349</v>
                </pt>
                <pt idx="12">
                  <v>349</v>
                </pt>
              </numCache>
            </numRef>
          </val>
          <smooth val="1"/>
        </ser>
        <ser>
          <idx val="6"/>
          <order val="6"/>
          <tx>
            <strRef>
              <f>llama_cpp_RSS!H2</f>
              <strCache>
                <ptCount val="1"/>
                <pt idx="0">
                  <v>dec-Lazy2</v>
                </pt>
              </strCache>
            </strRef>
          </tx>
          <spPr>
            <a:solidFill>
              <a:srgbClr val="FFC000"/>
            </a:solidFill>
            <a:ln w="18000">
              <a:solidFill>
                <a:srgbClr val="FFC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C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llama_cpp_RSS!$A$3:$A$15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llama_cpp_RSS!$H$3:$H$15</f>
              <numCache>
                <formatCode>0.00</formatCode>
                <ptCount val="13"/>
                <pt idx="0">
                  <v>341.2</v>
                </pt>
                <pt idx="1">
                  <v>341.1</v>
                </pt>
                <pt idx="2">
                  <v>341.1</v>
                </pt>
                <pt idx="3">
                  <v>349.3</v>
                </pt>
                <pt idx="4">
                  <v>348.4</v>
                </pt>
                <pt idx="5">
                  <v>348.3</v>
                </pt>
                <pt idx="6">
                  <v>348.4</v>
                </pt>
                <pt idx="7">
                  <v>348.4</v>
                </pt>
                <pt idx="8">
                  <v>348.8</v>
                </pt>
                <pt idx="9">
                  <v>348.8</v>
                </pt>
                <pt idx="10">
                  <v>348.9</v>
                </pt>
                <pt idx="11">
                  <v>348.8</v>
                </pt>
                <pt idx="12">
                  <v>348.8</v>
                </pt>
              </numCache>
            </numRef>
          </val>
          <smooth val="1"/>
        </ser>
        <ser>
          <idx val="7"/>
          <order val="7"/>
          <tx>
            <strRef>
              <f>llama_cpp_RSS!I2</f>
              <strCache>
                <ptCount val="1"/>
                <pt idx="0">
                  <v>dec-Optimal</v>
                </pt>
              </strCache>
            </strRef>
          </tx>
          <spPr>
            <a:solidFill>
              <a:srgbClr val="00B0F0"/>
            </a:solidFill>
            <a:ln w="18000">
              <a:solidFill>
                <a:srgbClr val="00B0F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0F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llama_cpp_RSS!$A$3:$A$15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llama_cpp_RSS!$I$3:$I$15</f>
              <numCache>
                <formatCode>0.00</formatCode>
                <ptCount val="13"/>
                <pt idx="0">
                  <v>341.8</v>
                </pt>
                <pt idx="1">
                  <v>341.5</v>
                </pt>
                <pt idx="2">
                  <v>341.5</v>
                </pt>
                <pt idx="3">
                  <v>349.9</v>
                </pt>
                <pt idx="4">
                  <v>349.7</v>
                </pt>
                <pt idx="5">
                  <v>349.5</v>
                </pt>
                <pt idx="6">
                  <v>349.9</v>
                </pt>
                <pt idx="7">
                  <v>349.9</v>
                </pt>
                <pt idx="8">
                  <v>349.3</v>
                </pt>
                <pt idx="9">
                  <v>348.9</v>
                </pt>
                <pt idx="10">
                  <v>348.8</v>
                </pt>
                <pt idx="11">
                  <v>349.2</v>
                </pt>
                <pt idx="12">
                  <v>348.9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51164585"/>
        <axId val="19005839"/>
      </lineChart>
      <catAx>
        <axId val="5116458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9005839"/>
        <crosses val="autoZero"/>
        <auto val="1"/>
        <lblAlgn val="ctr"/>
        <lblOffset val="100"/>
        <noMultiLvlLbl val="0"/>
      </catAx>
      <valAx>
        <axId val="1900583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MB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116458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llama.cpp — Energy (n=40)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llama_cpp_Energy!B2</f>
              <strCache>
                <ptCount val="1"/>
                <pt idx="0">
                  <v>enc-BVX3</v>
                </pt>
              </strCache>
            </strRef>
          </tx>
          <spPr>
            <a:solidFill>
              <a:srgbClr val="4472C4"/>
            </a:solidFill>
            <a:ln w="1800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llama_cpp_Energy!$A$3:$A$15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llama_cpp_Energy!$B$3:$B$15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29.202931</v>
                </pt>
                <pt idx="3">
                  <v>27.06095</v>
                </pt>
                <pt idx="4">
                  <v>28.262498</v>
                </pt>
                <pt idx="5">
                  <v>27.401693</v>
                </pt>
                <pt idx="6">
                  <v>27.628079</v>
                </pt>
                <pt idx="7">
                  <v>27.628079</v>
                </pt>
                <pt idx="8">
                  <v>27.975481</v>
                </pt>
                <pt idx="9">
                  <v>35.780564</v>
                </pt>
                <pt idx="10">
                  <v>28.439439</v>
                </pt>
                <pt idx="11">
                  <v>24.794849</v>
                </pt>
                <pt idx="12">
                  <v>23.61635</v>
                </pt>
              </numCache>
            </numRef>
          </val>
          <smooth val="1"/>
        </ser>
        <ser>
          <idx val="1"/>
          <order val="1"/>
          <tx>
            <strRef>
              <f>llama_cpp_Energy!C2</f>
              <strCache>
                <ptCount val="1"/>
                <pt idx="0">
                  <v>enc-Other3</v>
                </pt>
              </strCache>
            </strRef>
          </tx>
          <spPr>
            <a:solidFill>
              <a:srgbClr val="ED7D31"/>
            </a:solidFill>
            <a:ln w="1800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llama_cpp_Energy!$A$3:$A$15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llama_cpp_Energy!$C$3:$C$15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27.512151</v>
                </pt>
                <pt idx="3">
                  <v>26.283298</v>
                </pt>
                <pt idx="4">
                  <v>26.765581</v>
                </pt>
                <pt idx="5">
                  <v>25.293345</v>
                </pt>
                <pt idx="6">
                  <v>24.381924</v>
                </pt>
                <pt idx="7">
                  <v>24.381924</v>
                </pt>
                <pt idx="8">
                  <v>30.003544</v>
                </pt>
                <pt idx="9">
                  <v>35.6582</v>
                </pt>
                <pt idx="10">
                  <v>27.404132</v>
                </pt>
                <pt idx="11">
                  <v>24.936548</v>
                </pt>
                <pt idx="12">
                  <v>19.722189</v>
                </pt>
              </numCache>
            </numRef>
          </val>
          <smooth val="1"/>
        </ser>
        <ser>
          <idx val="2"/>
          <order val="2"/>
          <tx>
            <strRef>
              <f>llama_cpp_Energy!D2</f>
              <strCache>
                <ptCount val="1"/>
                <pt idx="0">
                  <v>enc-Lazy2</v>
                </pt>
              </strCache>
            </strRef>
          </tx>
          <spPr>
            <a:solidFill>
              <a:srgbClr val="A9D18E"/>
            </a:solidFill>
            <a:ln w="18000">
              <a:solidFill>
                <a:srgbClr val="A9D18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9D18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llama_cpp_Energy!$A$3:$A$15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llama_cpp_Energy!$D$3:$D$15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50.73156</v>
                </pt>
                <pt idx="3">
                  <v>46.721709</v>
                </pt>
                <pt idx="4">
                  <v>50.00129</v>
                </pt>
                <pt idx="5">
                  <v>49.178915</v>
                </pt>
                <pt idx="6">
                  <v>49.236007</v>
                </pt>
                <pt idx="7">
                  <v>49.236007</v>
                </pt>
                <pt idx="8">
                  <v>59.204837</v>
                </pt>
                <pt idx="9">
                  <v>70.37296600000001</v>
                </pt>
                <pt idx="10">
                  <v>49.563479</v>
                </pt>
                <pt idx="11">
                  <v>44.959099</v>
                </pt>
                <pt idx="12">
                  <v>46.799366</v>
                </pt>
              </numCache>
            </numRef>
          </val>
          <smooth val="1"/>
        </ser>
        <ser>
          <idx val="3"/>
          <order val="3"/>
          <tx>
            <strRef>
              <f>llama_cpp_Energy!E2</f>
              <strCache>
                <ptCount val="1"/>
                <pt idx="0">
                  <v>enc-Optimal</v>
                </pt>
              </strCache>
            </strRef>
          </tx>
          <spPr>
            <a:solidFill>
              <a:srgbClr val="FF0000"/>
            </a:solidFill>
            <a:ln w="18000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llama_cpp_Energy!$A$3:$A$15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llama_cpp_Energy!$E$3:$E$15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336.916503</v>
                </pt>
                <pt idx="3">
                  <v>325.627394</v>
                </pt>
                <pt idx="4">
                  <v>336.032293</v>
                </pt>
                <pt idx="5">
                  <v>329.64369</v>
                </pt>
                <pt idx="6">
                  <v>336.993094</v>
                </pt>
                <pt idx="7">
                  <v>336.993094</v>
                </pt>
                <pt idx="8">
                  <v>371.502908</v>
                </pt>
                <pt idx="9">
                  <v>407.283755</v>
                </pt>
                <pt idx="10">
                  <v>364.600403</v>
                </pt>
                <pt idx="11">
                  <v>359.194748</v>
                </pt>
                <pt idx="12">
                  <v>357.90825</v>
                </pt>
              </numCache>
            </numRef>
          </val>
          <smooth val="1"/>
        </ser>
        <ser>
          <idx val="4"/>
          <order val="4"/>
          <tx>
            <strRef>
              <f>llama_cpp_Energy!F2</f>
              <strCache>
                <ptCount val="1"/>
                <pt idx="0">
                  <v>dec-BVX3</v>
                </pt>
              </strCache>
            </strRef>
          </tx>
          <spPr>
            <a:solidFill>
              <a:srgbClr val="7030A0"/>
            </a:solidFill>
            <a:ln w="18000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30A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llama_cpp_Energy!$A$3:$A$15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llama_cpp_Energy!$F$3:$F$15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0.120664</v>
                </pt>
                <pt idx="6">
                  <v>3.686107</v>
                </pt>
                <pt idx="7">
                  <v>3.686107</v>
                </pt>
                <pt idx="8">
                  <v>2.628152</v>
                </pt>
                <pt idx="9">
                  <v>6.110705</v>
                </pt>
                <pt idx="10">
                  <v>2.652776</v>
                </pt>
                <pt idx="11">
                  <v>0.192758</v>
                </pt>
                <pt idx="12">
                  <v>0.026834</v>
                </pt>
              </numCache>
            </numRef>
          </val>
          <smooth val="1"/>
        </ser>
        <ser>
          <idx val="5"/>
          <order val="5"/>
          <tx>
            <strRef>
              <f>llama_cpp_Energy!G2</f>
              <strCache>
                <ptCount val="1"/>
                <pt idx="0">
                  <v>dec-Other3</v>
                </pt>
              </strCache>
            </strRef>
          </tx>
          <spPr>
            <a:solidFill>
              <a:srgbClr val="70AD47"/>
            </a:solidFill>
            <a:ln w="18000">
              <a:solidFill>
                <a:srgbClr val="70AD4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0AD47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llama_cpp_Energy!$A$3:$A$15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llama_cpp_Energy!$G$3:$G$15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0.056525</v>
                </pt>
                <pt idx="5">
                  <v>0.169607</v>
                </pt>
                <pt idx="6">
                  <v>1.279502</v>
                </pt>
                <pt idx="7">
                  <v>1.279502</v>
                </pt>
                <pt idx="8">
                  <v>2.932252</v>
                </pt>
                <pt idx="9">
                  <v>5.214195</v>
                </pt>
                <pt idx="10">
                  <v>2.636352</v>
                </pt>
                <pt idx="11">
                  <v>0.247449</v>
                </pt>
                <pt idx="12">
                  <v>0.033256</v>
                </pt>
              </numCache>
            </numRef>
          </val>
          <smooth val="1"/>
        </ser>
        <ser>
          <idx val="6"/>
          <order val="6"/>
          <tx>
            <strRef>
              <f>llama_cpp_Energy!H2</f>
              <strCache>
                <ptCount val="1"/>
                <pt idx="0">
                  <v>dec-Lazy2</v>
                </pt>
              </strCache>
            </strRef>
          </tx>
          <spPr>
            <a:solidFill>
              <a:srgbClr val="FFC000"/>
            </a:solidFill>
            <a:ln w="18000">
              <a:solidFill>
                <a:srgbClr val="FFC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C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llama_cpp_Energy!$A$3:$A$15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llama_cpp_Energy!$H$3:$H$15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0.568261</v>
                </pt>
                <pt idx="6">
                  <v>0.641797</v>
                </pt>
                <pt idx="7">
                  <v>0.641797</v>
                </pt>
                <pt idx="8">
                  <v>0</v>
                </pt>
                <pt idx="9">
                  <v>5.032602</v>
                </pt>
                <pt idx="10">
                  <v>2.487438</v>
                </pt>
                <pt idx="11">
                  <v>0.307893</v>
                </pt>
                <pt idx="12">
                  <v>0.03446</v>
                </pt>
              </numCache>
            </numRef>
          </val>
          <smooth val="1"/>
        </ser>
        <ser>
          <idx val="7"/>
          <order val="7"/>
          <tx>
            <strRef>
              <f>llama_cpp_Energy!I2</f>
              <strCache>
                <ptCount val="1"/>
                <pt idx="0">
                  <v>dec-Optimal</v>
                </pt>
              </strCache>
            </strRef>
          </tx>
          <spPr>
            <a:solidFill>
              <a:srgbClr val="00B0F0"/>
            </a:solidFill>
            <a:ln w="18000">
              <a:solidFill>
                <a:srgbClr val="00B0F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0F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llama_cpp_Energy!$A$3:$A$15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llama_cpp_Energy!$I$3:$I$15</f>
              <numCache>
                <formatCode>0.00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0.456669</v>
                </pt>
                <pt idx="6">
                  <v>0.249967</v>
                </pt>
                <pt idx="7">
                  <v>0.249967</v>
                </pt>
                <pt idx="8">
                  <v>2.496657</v>
                </pt>
                <pt idx="9">
                  <v>5.858178</v>
                </pt>
                <pt idx="10">
                  <v>2.747863</v>
                </pt>
                <pt idx="11">
                  <v>0.061502</v>
                </pt>
                <pt idx="12">
                  <v>0.043203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26357255"/>
        <axId val="61118604"/>
      </lineChart>
      <catAx>
        <axId val="2635725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1118604"/>
        <crosses val="autoZero"/>
        <auto val="1"/>
        <lblAlgn val="ctr"/>
        <lblOffset val="100"/>
        <noMultiLvlLbl val="0"/>
      </catAx>
      <valAx>
        <axId val="6111860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Joules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635725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llama.cpp — CompRatio (n=40)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llama_cpp_CompRatio!B2</f>
              <strCache>
                <ptCount val="1"/>
                <pt idx="0">
                  <v>BVX3</v>
                </pt>
              </strCache>
            </strRef>
          </tx>
          <spPr>
            <a:solidFill>
              <a:srgbClr val="4472C4"/>
            </a:solidFill>
            <a:ln w="1800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llama_cpp_CompRatio!$A$3:$A$15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llama_cpp_CompRatio!$B$3:$B$15</f>
              <numCache>
                <formatCode>0.00</formatCode>
                <ptCount val="13"/>
                <pt idx="0">
                  <v>0.9816</v>
                </pt>
                <pt idx="1">
                  <v>0.9816</v>
                </pt>
                <pt idx="2">
                  <v>0.9816</v>
                </pt>
                <pt idx="3">
                  <v>0.9816</v>
                </pt>
                <pt idx="4">
                  <v>0.9816</v>
                </pt>
                <pt idx="5">
                  <v>0.9816</v>
                </pt>
                <pt idx="6">
                  <v>0.9816</v>
                </pt>
                <pt idx="7">
                  <v>0.9816</v>
                </pt>
                <pt idx="8">
                  <v>0.9787</v>
                </pt>
                <pt idx="9">
                  <v>0.9787</v>
                </pt>
                <pt idx="10">
                  <v>0.9787</v>
                </pt>
                <pt idx="11">
                  <v>0.9787</v>
                </pt>
                <pt idx="12">
                  <v>0.9787</v>
                </pt>
              </numCache>
            </numRef>
          </val>
          <smooth val="1"/>
        </ser>
        <ser>
          <idx val="1"/>
          <order val="1"/>
          <tx>
            <strRef>
              <f>llama_cpp_CompRatio!C2</f>
              <strCache>
                <ptCount val="1"/>
                <pt idx="0">
                  <v>Other3</v>
                </pt>
              </strCache>
            </strRef>
          </tx>
          <spPr>
            <a:solidFill>
              <a:srgbClr val="ED7D31"/>
            </a:solidFill>
            <a:ln w="1800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llama_cpp_CompRatio!$A$3:$A$15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llama_cpp_CompRatio!$C$3:$C$15</f>
              <numCache>
                <formatCode>0.00</formatCode>
                <ptCount val="13"/>
                <pt idx="0">
                  <v>0.9979</v>
                </pt>
                <pt idx="1">
                  <v>0.9979</v>
                </pt>
                <pt idx="2">
                  <v>0.9979</v>
                </pt>
                <pt idx="3">
                  <v>0.9979</v>
                </pt>
                <pt idx="4">
                  <v>0.9978</v>
                </pt>
                <pt idx="5">
                  <v>0.9978</v>
                </pt>
                <pt idx="6">
                  <v>0.9978</v>
                </pt>
                <pt idx="7">
                  <v>0.9978</v>
                </pt>
                <pt idx="8">
                  <v>0.9957</v>
                </pt>
                <pt idx="9">
                  <v>0.9957</v>
                </pt>
                <pt idx="10">
                  <v>0.9957</v>
                </pt>
                <pt idx="11">
                  <v>0.9957</v>
                </pt>
                <pt idx="12">
                  <v>0.9957</v>
                </pt>
              </numCache>
            </numRef>
          </val>
          <smooth val="1"/>
        </ser>
        <ser>
          <idx val="2"/>
          <order val="2"/>
          <tx>
            <strRef>
              <f>llama_cpp_CompRatio!D2</f>
              <strCache>
                <ptCount val="1"/>
                <pt idx="0">
                  <v>Lazy2</v>
                </pt>
              </strCache>
            </strRef>
          </tx>
          <spPr>
            <a:solidFill>
              <a:srgbClr val="A9D18E"/>
            </a:solidFill>
            <a:ln w="18000">
              <a:solidFill>
                <a:srgbClr val="A9D18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9D18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llama_cpp_CompRatio!$A$3:$A$15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llama_cpp_CompRatio!$D$3:$D$15</f>
              <numCache>
                <formatCode>0.00</formatCode>
                <ptCount val="13"/>
                <pt idx="0">
                  <v>0.9588</v>
                </pt>
                <pt idx="1">
                  <v>0.9588</v>
                </pt>
                <pt idx="2">
                  <v>0.9588</v>
                </pt>
                <pt idx="3">
                  <v>0.9588</v>
                </pt>
                <pt idx="4">
                  <v>0.9583</v>
                </pt>
                <pt idx="5">
                  <v>0.9583</v>
                </pt>
                <pt idx="6">
                  <v>0.9583</v>
                </pt>
                <pt idx="7">
                  <v>0.9583</v>
                </pt>
                <pt idx="8">
                  <v>0.9550999999999999</v>
                </pt>
                <pt idx="9">
                  <v>0.9550999999999999</v>
                </pt>
                <pt idx="10">
                  <v>0.9550999999999999</v>
                </pt>
                <pt idx="11">
                  <v>0.9550999999999999</v>
                </pt>
                <pt idx="12">
                  <v>0.9550999999999999</v>
                </pt>
              </numCache>
            </numRef>
          </val>
          <smooth val="1"/>
        </ser>
        <ser>
          <idx val="3"/>
          <order val="3"/>
          <tx>
            <strRef>
              <f>llama_cpp_CompRatio!E2</f>
              <strCache>
                <ptCount val="1"/>
                <pt idx="0">
                  <v>Optimal</v>
                </pt>
              </strCache>
            </strRef>
          </tx>
          <spPr>
            <a:solidFill>
              <a:srgbClr val="FF0000"/>
            </a:solidFill>
            <a:ln w="18000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llama_cpp_CompRatio!$A$3:$A$15</f>
              <strCache>
                <ptCount val="13"/>
                <pt idx="0">
                  <v>R27</v>
                </pt>
                <pt idx="1">
                  <v>R28</v>
                </pt>
                <pt idx="2">
                  <v>R29</v>
                </pt>
                <pt idx="3">
                  <v>R30</v>
                </pt>
                <pt idx="4">
                  <v>R31</v>
                </pt>
                <pt idx="5">
                  <v>R32</v>
                </pt>
                <pt idx="6">
                  <v>R33</v>
                </pt>
                <pt idx="7">
                  <v>R34</v>
                </pt>
                <pt idx="8">
                  <v>R35</v>
                </pt>
                <pt idx="9">
                  <v>R36</v>
                </pt>
                <pt idx="10">
                  <v>R37</v>
                </pt>
                <pt idx="11">
                  <v>R38</v>
                </pt>
                <pt idx="12">
                  <v>R39</v>
                </pt>
              </strCache>
            </strRef>
          </cat>
          <val>
            <numRef>
              <f>llama_cpp_CompRatio!$E$3:$E$15</f>
              <numCache>
                <formatCode>0.00</formatCode>
                <ptCount val="13"/>
                <pt idx="0">
                  <v>0.9416</v>
                </pt>
                <pt idx="1">
                  <v>0.9416</v>
                </pt>
                <pt idx="2">
                  <v>0.9416</v>
                </pt>
                <pt idx="3">
                  <v>0.9416</v>
                </pt>
                <pt idx="4">
                  <v>0.9415</v>
                </pt>
                <pt idx="5">
                  <v>0.9421</v>
                </pt>
                <pt idx="6">
                  <v>0.9434</v>
                </pt>
                <pt idx="7">
                  <v>0.9434</v>
                </pt>
                <pt idx="8">
                  <v>0.9393</v>
                </pt>
                <pt idx="9">
                  <v>0.9393</v>
                </pt>
                <pt idx="10">
                  <v>0.9393</v>
                </pt>
                <pt idx="11">
                  <v>0.9393</v>
                </pt>
                <pt idx="12">
                  <v>0.9393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6984748"/>
        <axId val="32715183"/>
      </lineChart>
      <catAx>
        <axId val="6984748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Round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2715183"/>
        <crosses val="autoZero"/>
        <auto val="1"/>
        <lblAlgn val="ctr"/>
        <lblOffset val="100"/>
        <noMultiLvlLbl val="0"/>
      </catAx>
      <valAx>
        <axId val="3271518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Ratio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984748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17</row>
      <rowOff>0</rowOff>
    </from>
    <to>
      <col>14</col>
      <colOff>99360</colOff>
      <row>45</row>
      <rowOff>65880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17</row>
      <rowOff>0</rowOff>
    </from>
    <to>
      <col>14</col>
      <colOff>99360</colOff>
      <row>45</row>
      <rowOff>65880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17</row>
      <rowOff>0</rowOff>
    </from>
    <to>
      <col>14</col>
      <colOff>99360</colOff>
      <row>45</row>
      <rowOff>65880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17</row>
      <rowOff>0</rowOff>
    </from>
    <to>
      <col>14</col>
      <colOff>472680</colOff>
      <row>45</row>
      <rowOff>65520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17</row>
      <rowOff>0</rowOff>
    </from>
    <to>
      <col>14</col>
      <colOff>99360</colOff>
      <row>45</row>
      <rowOff>65880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17</row>
      <rowOff>0</rowOff>
    </from>
    <to>
      <col>14</col>
      <colOff>99360</colOff>
      <row>45</row>
      <rowOff>65880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17</row>
      <rowOff>0</rowOff>
    </from>
    <to>
      <col>14</col>
      <colOff>99360</colOff>
      <row>45</row>
      <rowOff>65880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17</row>
      <rowOff>0</rowOff>
    </from>
    <to>
      <col>14</col>
      <colOff>472680</colOff>
      <row>45</row>
      <rowOff>65520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29"/>
  </cols>
  <sheetData>
    <row r="1" ht="19.5" customHeight="1" s="11">
      <c r="A1" s="12" t="inlineStr">
        <is>
          <t>Round</t>
        </is>
      </c>
      <c r="B1" s="12" t="inlineStr">
        <is>
          <t>Encode Speed (MB/s)</t>
        </is>
      </c>
      <c r="C1" s="13" t="n"/>
      <c r="D1" s="13" t="n"/>
      <c r="E1" s="14" t="n"/>
      <c r="F1" s="12" t="inlineStr">
        <is>
          <t>Decode Speed (MB/s)</t>
        </is>
      </c>
      <c r="G1" s="13" t="n"/>
      <c r="H1" s="13" t="n"/>
      <c r="I1" s="14" t="n"/>
      <c r="J1" s="12" t="inlineStr">
        <is>
          <t>Encode RSS (MB)</t>
        </is>
      </c>
      <c r="K1" s="13" t="n"/>
      <c r="L1" s="13" t="n"/>
      <c r="M1" s="14" t="n"/>
      <c r="N1" s="12" t="inlineStr">
        <is>
          <t>Decode RSS (MB)</t>
        </is>
      </c>
      <c r="O1" s="13" t="n"/>
      <c r="P1" s="13" t="n"/>
      <c r="Q1" s="14" t="n"/>
      <c r="R1" s="12" t="inlineStr">
        <is>
          <t>Encode Energy (J)</t>
        </is>
      </c>
      <c r="S1" s="13" t="n"/>
      <c r="T1" s="13" t="n"/>
      <c r="U1" s="14" t="n"/>
      <c r="V1" s="12" t="inlineStr">
        <is>
          <t>Decode Energy (J)</t>
        </is>
      </c>
      <c r="W1" s="13" t="n"/>
      <c r="X1" s="13" t="n"/>
      <c r="Y1" s="14" t="n"/>
      <c r="Z1" s="12" t="inlineStr">
        <is>
          <t>Compress Ratio</t>
        </is>
      </c>
      <c r="AA1" s="13" t="n"/>
      <c r="AB1" s="13" t="n"/>
      <c r="AC1" s="14" t="n"/>
    </row>
    <row r="2" ht="15.75" customHeight="1" s="11">
      <c r="A2" s="15" t="n"/>
      <c r="B2" s="16" t="inlineStr">
        <is>
          <t>BVX3</t>
        </is>
      </c>
      <c r="C2" s="16" t="inlineStr">
        <is>
          <t>Other3</t>
        </is>
      </c>
      <c r="D2" s="16" t="inlineStr">
        <is>
          <t>Lazy2</t>
        </is>
      </c>
      <c r="E2" s="16" t="inlineStr">
        <is>
          <t>Optimal</t>
        </is>
      </c>
      <c r="F2" s="16" t="inlineStr">
        <is>
          <t>BVX3</t>
        </is>
      </c>
      <c r="G2" s="16" t="inlineStr">
        <is>
          <t>Other3</t>
        </is>
      </c>
      <c r="H2" s="16" t="inlineStr">
        <is>
          <t>Lazy2</t>
        </is>
      </c>
      <c r="I2" s="16" t="inlineStr">
        <is>
          <t>Optimal</t>
        </is>
      </c>
      <c r="J2" s="16" t="inlineStr">
        <is>
          <t>BVX3</t>
        </is>
      </c>
      <c r="K2" s="16" t="inlineStr">
        <is>
          <t>Other3</t>
        </is>
      </c>
      <c r="L2" s="16" t="inlineStr">
        <is>
          <t>Lazy2</t>
        </is>
      </c>
      <c r="M2" s="16" t="inlineStr">
        <is>
          <t>Optimal</t>
        </is>
      </c>
      <c r="N2" s="16" t="inlineStr">
        <is>
          <t>BVX3</t>
        </is>
      </c>
      <c r="O2" s="16" t="inlineStr">
        <is>
          <t>Other3</t>
        </is>
      </c>
      <c r="P2" s="16" t="inlineStr">
        <is>
          <t>Lazy2</t>
        </is>
      </c>
      <c r="Q2" s="16" t="inlineStr">
        <is>
          <t>Optimal</t>
        </is>
      </c>
      <c r="R2" s="16" t="inlineStr">
        <is>
          <t>BVX3</t>
        </is>
      </c>
      <c r="S2" s="16" t="inlineStr">
        <is>
          <t>Other3</t>
        </is>
      </c>
      <c r="T2" s="16" t="inlineStr">
        <is>
          <t>Lazy2</t>
        </is>
      </c>
      <c r="U2" s="16" t="inlineStr">
        <is>
          <t>Optimal</t>
        </is>
      </c>
      <c r="V2" s="16" t="inlineStr">
        <is>
          <t>BVX3</t>
        </is>
      </c>
      <c r="W2" s="16" t="inlineStr">
        <is>
          <t>Other3</t>
        </is>
      </c>
      <c r="X2" s="16" t="inlineStr">
        <is>
          <t>Lazy2</t>
        </is>
      </c>
      <c r="Y2" s="16" t="inlineStr">
        <is>
          <t>Optimal</t>
        </is>
      </c>
      <c r="Z2" s="16" t="inlineStr">
        <is>
          <t>BVX3</t>
        </is>
      </c>
      <c r="AA2" s="16" t="inlineStr">
        <is>
          <t>Other3</t>
        </is>
      </c>
      <c r="AB2" s="16" t="inlineStr">
        <is>
          <t>Lazy2</t>
        </is>
      </c>
      <c r="AC2" s="16" t="inlineStr">
        <is>
          <t>Optimal</t>
        </is>
      </c>
    </row>
    <row r="3" ht="15" customHeight="1" s="11">
      <c r="A3" s="17" t="inlineStr">
        <is>
          <t>R27</t>
        </is>
      </c>
      <c r="B3" s="18" t="n">
        <v>634.8200000000001</v>
      </c>
      <c r="C3" s="18" t="n">
        <v>417.11</v>
      </c>
      <c r="D3" s="18" t="n">
        <v>55.3</v>
      </c>
      <c r="E3" s="18" t="n">
        <v>34.36</v>
      </c>
      <c r="F3" s="18" t="n">
        <v>746.42</v>
      </c>
      <c r="G3" s="18" t="n">
        <v>729.35</v>
      </c>
      <c r="H3" s="18" t="n">
        <v>685.2</v>
      </c>
      <c r="I3" s="18" t="n">
        <v>710.15</v>
      </c>
      <c r="J3" s="19" t="n">
        <v>350.7</v>
      </c>
      <c r="K3" s="19" t="n">
        <v>363</v>
      </c>
      <c r="L3" s="19" t="n">
        <v>500.9</v>
      </c>
      <c r="M3" s="19" t="n">
        <v>570.2</v>
      </c>
      <c r="N3" s="19" t="n">
        <v>315.1</v>
      </c>
      <c r="O3" s="19" t="n">
        <v>303.4</v>
      </c>
      <c r="P3" s="19" t="n">
        <v>316</v>
      </c>
      <c r="Q3" s="19" t="n">
        <v>313</v>
      </c>
      <c r="R3" s="18" t="n"/>
      <c r="S3" s="18" t="n"/>
      <c r="T3" s="18" t="n"/>
      <c r="U3" s="18" t="n"/>
      <c r="V3" s="18" t="n"/>
      <c r="W3" s="18" t="n"/>
      <c r="X3" s="18" t="n"/>
      <c r="Y3" s="18" t="n"/>
      <c r="Z3" s="20" t="n">
        <v>0.9515</v>
      </c>
      <c r="AA3" s="20" t="n">
        <v>0.9872</v>
      </c>
      <c r="AB3" s="20" t="n">
        <v>0.9016</v>
      </c>
      <c r="AC3" s="20" t="n">
        <v>0.859</v>
      </c>
    </row>
    <row r="4" ht="15" customHeight="1" s="11">
      <c r="A4" s="17" t="inlineStr">
        <is>
          <t>R28</t>
        </is>
      </c>
      <c r="B4" s="18" t="n">
        <v>672.71</v>
      </c>
      <c r="C4" s="18" t="n">
        <v>618.34</v>
      </c>
      <c r="D4" s="18" t="n">
        <v>66.45999999999999</v>
      </c>
      <c r="E4" s="18" t="n">
        <v>34.93</v>
      </c>
      <c r="F4" s="18" t="n">
        <v>663.05</v>
      </c>
      <c r="G4" s="18" t="n">
        <v>763.42</v>
      </c>
      <c r="H4" s="18" t="n">
        <v>760.3</v>
      </c>
      <c r="I4" s="18" t="n">
        <v>601.02</v>
      </c>
      <c r="J4" s="19" t="n">
        <v>366.3</v>
      </c>
      <c r="K4" s="19" t="n">
        <v>354.1</v>
      </c>
      <c r="L4" s="19" t="n">
        <v>497.6</v>
      </c>
      <c r="M4" s="19" t="n">
        <v>558.6</v>
      </c>
      <c r="N4" s="19" t="n">
        <v>315.3</v>
      </c>
      <c r="O4" s="19" t="n">
        <v>303.6</v>
      </c>
      <c r="P4" s="19" t="n">
        <v>316</v>
      </c>
      <c r="Q4" s="19" t="n">
        <v>312.9</v>
      </c>
      <c r="R4" s="18" t="n"/>
      <c r="S4" s="18" t="n"/>
      <c r="T4" s="18" t="n"/>
      <c r="U4" s="18" t="n"/>
      <c r="V4" s="18" t="n"/>
      <c r="W4" s="18" t="n"/>
      <c r="X4" s="18" t="n"/>
      <c r="Y4" s="18" t="n"/>
      <c r="Z4" s="20" t="n">
        <v>0.9515</v>
      </c>
      <c r="AA4" s="20" t="n">
        <v>0.9872</v>
      </c>
      <c r="AB4" s="20" t="n">
        <v>0.9016</v>
      </c>
      <c r="AC4" s="20" t="n">
        <v>0.859</v>
      </c>
    </row>
    <row r="5" ht="15" customHeight="1" s="11">
      <c r="A5" s="17" t="inlineStr">
        <is>
          <t>R29</t>
        </is>
      </c>
      <c r="B5" s="18" t="n">
        <v>672.71</v>
      </c>
      <c r="C5" s="18" t="n">
        <v>618.34</v>
      </c>
      <c r="D5" s="18" t="n">
        <v>66.45999999999999</v>
      </c>
      <c r="E5" s="18" t="n">
        <v>34.93</v>
      </c>
      <c r="F5" s="18" t="n">
        <v>663.05</v>
      </c>
      <c r="G5" s="18" t="n">
        <v>763.42</v>
      </c>
      <c r="H5" s="18" t="n">
        <v>760.3</v>
      </c>
      <c r="I5" s="18" t="n">
        <v>601.02</v>
      </c>
      <c r="J5" s="19" t="n">
        <v>366.3</v>
      </c>
      <c r="K5" s="19" t="n">
        <v>354.1</v>
      </c>
      <c r="L5" s="19" t="n">
        <v>497.6</v>
      </c>
      <c r="M5" s="19" t="n">
        <v>558.6</v>
      </c>
      <c r="N5" s="19" t="n">
        <v>315.3</v>
      </c>
      <c r="O5" s="19" t="n">
        <v>303.6</v>
      </c>
      <c r="P5" s="19" t="n">
        <v>316</v>
      </c>
      <c r="Q5" s="19" t="n">
        <v>312.9</v>
      </c>
      <c r="R5" s="18" t="n">
        <v>46.373344</v>
      </c>
      <c r="S5" s="18" t="n">
        <v>39.064042</v>
      </c>
      <c r="T5" s="18" t="n">
        <v>200.665164</v>
      </c>
      <c r="U5" s="18" t="n">
        <v>561.578849</v>
      </c>
      <c r="V5" s="18" t="n">
        <v>2.027048</v>
      </c>
      <c r="W5" s="18" t="n"/>
      <c r="X5" s="18" t="n">
        <v>1.337064</v>
      </c>
      <c r="Y5" s="18" t="n">
        <v>0.746398</v>
      </c>
      <c r="Z5" s="20" t="n">
        <v>0.9515</v>
      </c>
      <c r="AA5" s="20" t="n">
        <v>0.9872</v>
      </c>
      <c r="AB5" s="20" t="n">
        <v>0.9016</v>
      </c>
      <c r="AC5" s="20" t="n">
        <v>0.859</v>
      </c>
    </row>
    <row r="6" ht="15" customHeight="1" s="11">
      <c r="A6" s="17" t="inlineStr">
        <is>
          <t>R30</t>
        </is>
      </c>
      <c r="B6" s="18" t="n">
        <v>589.03</v>
      </c>
      <c r="C6" s="18" t="n">
        <v>513.14</v>
      </c>
      <c r="D6" s="18" t="n">
        <v>69.15000000000001</v>
      </c>
      <c r="E6" s="18" t="n">
        <v>37.13</v>
      </c>
      <c r="F6" s="18" t="n">
        <v>581.45</v>
      </c>
      <c r="G6" s="18" t="n">
        <v>736.5700000000001</v>
      </c>
      <c r="H6" s="18" t="n">
        <v>530.51</v>
      </c>
      <c r="I6" s="18" t="n">
        <v>544.35</v>
      </c>
      <c r="J6" s="19" t="n">
        <v>372.8</v>
      </c>
      <c r="K6" s="19" t="n">
        <v>371.5</v>
      </c>
      <c r="L6" s="19" t="n">
        <v>502</v>
      </c>
      <c r="M6" s="19" t="n">
        <v>580.8</v>
      </c>
      <c r="N6" s="19" t="n">
        <v>318.2</v>
      </c>
      <c r="O6" s="19" t="n">
        <v>302.4</v>
      </c>
      <c r="P6" s="19" t="n">
        <v>319.2</v>
      </c>
      <c r="Q6" s="19" t="n">
        <v>312.8</v>
      </c>
      <c r="R6" s="18" t="n">
        <v>34.633305</v>
      </c>
      <c r="S6" s="18" t="n">
        <v>34.229972</v>
      </c>
      <c r="T6" s="18" t="n">
        <v>107.715221</v>
      </c>
      <c r="U6" s="18" t="n">
        <v>502.751197</v>
      </c>
      <c r="V6" s="18" t="n">
        <v>0.158688</v>
      </c>
      <c r="W6" s="18" t="n">
        <v>0.08619400000000001</v>
      </c>
      <c r="X6" s="18" t="n">
        <v>0.09558</v>
      </c>
      <c r="Y6" s="18" t="n">
        <v>0.086997</v>
      </c>
      <c r="Z6" s="20" t="n">
        <v>0.9515</v>
      </c>
      <c r="AA6" s="20" t="n">
        <v>0.9872</v>
      </c>
      <c r="AB6" s="20" t="n">
        <v>0.9016</v>
      </c>
      <c r="AC6" s="20" t="n">
        <v>0.859</v>
      </c>
    </row>
    <row r="7" ht="15" customHeight="1" s="11">
      <c r="A7" s="17" t="inlineStr">
        <is>
          <t>R31</t>
        </is>
      </c>
      <c r="B7" s="18" t="n">
        <v>657.59</v>
      </c>
      <c r="C7" s="18" t="n">
        <v>637.91</v>
      </c>
      <c r="D7" s="18" t="n">
        <v>68.73</v>
      </c>
      <c r="E7" s="18" t="n">
        <v>36.95</v>
      </c>
      <c r="F7" s="18" t="n">
        <v>402.17</v>
      </c>
      <c r="G7" s="18" t="n">
        <v>729.78</v>
      </c>
      <c r="H7" s="18" t="n">
        <v>666.3200000000001</v>
      </c>
      <c r="I7" s="18" t="n">
        <v>452.8</v>
      </c>
      <c r="J7" s="19" t="n">
        <v>355</v>
      </c>
      <c r="K7" s="19" t="n">
        <v>357.8</v>
      </c>
      <c r="L7" s="19" t="n">
        <v>494.7</v>
      </c>
      <c r="M7" s="19" t="n">
        <v>572.3</v>
      </c>
      <c r="N7" s="19" t="n">
        <v>322.4</v>
      </c>
      <c r="O7" s="19" t="n">
        <v>298.7</v>
      </c>
      <c r="P7" s="19" t="n">
        <v>319.7</v>
      </c>
      <c r="Q7" s="19" t="n">
        <v>308.6</v>
      </c>
      <c r="R7" s="18" t="n">
        <v>35.672829</v>
      </c>
      <c r="S7" s="18" t="n">
        <v>33.684011</v>
      </c>
      <c r="T7" s="18" t="n">
        <v>111.234117</v>
      </c>
      <c r="U7" s="18" t="n">
        <v>511.529058</v>
      </c>
      <c r="V7" s="18" t="n">
        <v>0.069104</v>
      </c>
      <c r="W7" s="18" t="n">
        <v>0.07176100000000001</v>
      </c>
      <c r="X7" s="18" t="n">
        <v>0.085762</v>
      </c>
      <c r="Y7" s="18" t="n">
        <v>0.062455</v>
      </c>
      <c r="Z7" s="20" t="n">
        <v>0.9516</v>
      </c>
      <c r="AA7" s="20" t="n">
        <v>0.9871</v>
      </c>
      <c r="AB7" s="20" t="n">
        <v>0.9013</v>
      </c>
      <c r="AC7" s="20" t="n">
        <v>0.859</v>
      </c>
    </row>
    <row r="8" ht="15" customHeight="1" s="11">
      <c r="A8" s="17" t="inlineStr">
        <is>
          <t>R32</t>
        </is>
      </c>
      <c r="B8" s="18" t="n">
        <v>642.0599999999999</v>
      </c>
      <c r="C8" s="18" t="n">
        <v>502.96</v>
      </c>
      <c r="D8" s="18" t="n">
        <v>67.68000000000001</v>
      </c>
      <c r="E8" s="18" t="n">
        <v>36.98</v>
      </c>
      <c r="F8" s="18" t="n">
        <v>427.47</v>
      </c>
      <c r="G8" s="18" t="n">
        <v>705.8099999999999</v>
      </c>
      <c r="H8" s="18" t="n">
        <v>435.97</v>
      </c>
      <c r="I8" s="18" t="n">
        <v>416.81</v>
      </c>
      <c r="J8" s="19" t="n">
        <v>364.7</v>
      </c>
      <c r="K8" s="19" t="n">
        <v>349.5</v>
      </c>
      <c r="L8" s="19" t="n">
        <v>485.1</v>
      </c>
      <c r="M8" s="19" t="n">
        <v>544.2</v>
      </c>
      <c r="N8" s="19" t="n">
        <v>322.5</v>
      </c>
      <c r="O8" s="19" t="n">
        <v>298.7</v>
      </c>
      <c r="P8" s="19" t="n">
        <v>319.8</v>
      </c>
      <c r="Q8" s="19" t="n">
        <v>308.2</v>
      </c>
      <c r="R8" s="18" t="n">
        <v>34.563284</v>
      </c>
      <c r="S8" s="18" t="n">
        <v>41.832219</v>
      </c>
      <c r="T8" s="18" t="n">
        <v>115.000515</v>
      </c>
      <c r="U8" s="18" t="n">
        <v>513.399386</v>
      </c>
      <c r="V8" s="18" t="n">
        <v>0.150759</v>
      </c>
      <c r="W8" s="18" t="n">
        <v>0.492021</v>
      </c>
      <c r="X8" s="18" t="n">
        <v>0.200182</v>
      </c>
      <c r="Y8" s="18" t="n">
        <v>0.420946</v>
      </c>
      <c r="Z8" s="20" t="n">
        <v>0.9516</v>
      </c>
      <c r="AA8" s="20" t="n">
        <v>0.9871</v>
      </c>
      <c r="AB8" s="20" t="n">
        <v>0.9013</v>
      </c>
      <c r="AC8" s="20" t="n">
        <v>0.8605</v>
      </c>
    </row>
    <row r="9" ht="15" customHeight="1" s="11">
      <c r="A9" s="17" t="inlineStr">
        <is>
          <t>R33</t>
        </is>
      </c>
      <c r="B9" s="18" t="n">
        <v>681.7</v>
      </c>
      <c r="C9" s="18" t="n">
        <v>536.98</v>
      </c>
      <c r="D9" s="18" t="n">
        <v>66.58</v>
      </c>
      <c r="E9" s="18" t="n">
        <v>36.29</v>
      </c>
      <c r="F9" s="18" t="n">
        <v>687.96</v>
      </c>
      <c r="G9" s="18" t="n">
        <v>758.03</v>
      </c>
      <c r="H9" s="18" t="n">
        <v>731.77</v>
      </c>
      <c r="I9" s="18" t="n">
        <v>769.09</v>
      </c>
      <c r="J9" s="19" t="n">
        <v>361.2</v>
      </c>
      <c r="K9" s="19" t="n">
        <v>369.6</v>
      </c>
      <c r="L9" s="19" t="n">
        <v>506.2</v>
      </c>
      <c r="M9" s="19" t="n">
        <v>572.6</v>
      </c>
      <c r="N9" s="19" t="n">
        <v>322.6</v>
      </c>
      <c r="O9" s="19" t="n">
        <v>298.7</v>
      </c>
      <c r="P9" s="19" t="n">
        <v>320</v>
      </c>
      <c r="Q9" s="19" t="n">
        <v>306.8</v>
      </c>
      <c r="R9" s="18" t="n">
        <v>32.590001</v>
      </c>
      <c r="S9" s="18" t="n">
        <v>34.858309</v>
      </c>
      <c r="T9" s="18" t="n">
        <v>126.743921</v>
      </c>
      <c r="U9" s="18" t="n">
        <v>512.056876</v>
      </c>
      <c r="V9" s="18" t="n">
        <v>0.115538</v>
      </c>
      <c r="W9" s="18" t="n">
        <v>0.55181</v>
      </c>
      <c r="X9" s="18" t="n">
        <v>0.279663</v>
      </c>
      <c r="Y9" s="18" t="n">
        <v>0.726997</v>
      </c>
      <c r="Z9" s="20" t="n">
        <v>0.9516</v>
      </c>
      <c r="AA9" s="20" t="n">
        <v>0.9871</v>
      </c>
      <c r="AB9" s="20" t="n">
        <v>0.9013</v>
      </c>
      <c r="AC9" s="20" t="n">
        <v>0.8633</v>
      </c>
    </row>
    <row r="10" ht="15" customHeight="1" s="11">
      <c r="A10" s="17" t="inlineStr">
        <is>
          <t>R34</t>
        </is>
      </c>
      <c r="B10" s="18" t="n">
        <v>681.7</v>
      </c>
      <c r="C10" s="18" t="n">
        <v>536.98</v>
      </c>
      <c r="D10" s="18" t="n">
        <v>66.58</v>
      </c>
      <c r="E10" s="18" t="n">
        <v>36.29</v>
      </c>
      <c r="F10" s="18" t="n">
        <v>687.96</v>
      </c>
      <c r="G10" s="18" t="n">
        <v>758.03</v>
      </c>
      <c r="H10" s="18" t="n">
        <v>731.77</v>
      </c>
      <c r="I10" s="18" t="n">
        <v>769.09</v>
      </c>
      <c r="J10" s="19" t="n">
        <v>361.2</v>
      </c>
      <c r="K10" s="19" t="n">
        <v>369.6</v>
      </c>
      <c r="L10" s="19" t="n">
        <v>506.2</v>
      </c>
      <c r="M10" s="19" t="n">
        <v>572.6</v>
      </c>
      <c r="N10" s="19" t="n">
        <v>322.6</v>
      </c>
      <c r="O10" s="19" t="n">
        <v>298.7</v>
      </c>
      <c r="P10" s="19" t="n">
        <v>320</v>
      </c>
      <c r="Q10" s="19" t="n">
        <v>306.8</v>
      </c>
      <c r="R10" s="18" t="n">
        <v>32.590001</v>
      </c>
      <c r="S10" s="18" t="n">
        <v>34.858309</v>
      </c>
      <c r="T10" s="18" t="n">
        <v>126.743921</v>
      </c>
      <c r="U10" s="18" t="n">
        <v>512.056876</v>
      </c>
      <c r="V10" s="18" t="n">
        <v>0.115538</v>
      </c>
      <c r="W10" s="18" t="n">
        <v>0.55181</v>
      </c>
      <c r="X10" s="18" t="n">
        <v>0.279663</v>
      </c>
      <c r="Y10" s="18" t="n">
        <v>0.726997</v>
      </c>
      <c r="Z10" s="20" t="n">
        <v>0.9516</v>
      </c>
      <c r="AA10" s="20" t="n">
        <v>0.9871</v>
      </c>
      <c r="AB10" s="20" t="n">
        <v>0.9013</v>
      </c>
      <c r="AC10" s="20" t="n">
        <v>0.8633</v>
      </c>
    </row>
    <row r="11" ht="15" customHeight="1" s="11">
      <c r="A11" s="17" t="inlineStr">
        <is>
          <t>R35</t>
        </is>
      </c>
      <c r="B11" s="18" t="n">
        <v>310.37</v>
      </c>
      <c r="C11" s="18" t="n">
        <v>365.75</v>
      </c>
      <c r="D11" s="18" t="n">
        <v>64.37</v>
      </c>
      <c r="E11" s="18" t="n">
        <v>34.7</v>
      </c>
      <c r="F11" s="18" t="n">
        <v>352.72</v>
      </c>
      <c r="G11" s="18" t="n">
        <v>343.16</v>
      </c>
      <c r="H11" s="18" t="n">
        <v>303.39</v>
      </c>
      <c r="I11" s="18" t="n">
        <v>295.47</v>
      </c>
      <c r="J11" s="19" t="n">
        <v>233.1</v>
      </c>
      <c r="K11" s="19" t="n">
        <v>271</v>
      </c>
      <c r="L11" s="19" t="n">
        <v>495.8</v>
      </c>
      <c r="M11" s="19" t="n">
        <v>578.1</v>
      </c>
      <c r="N11" s="19" t="n">
        <v>324.9</v>
      </c>
      <c r="O11" s="19" t="n">
        <v>300.1</v>
      </c>
      <c r="P11" s="19" t="n">
        <v>320.5</v>
      </c>
      <c r="Q11" s="19" t="n">
        <v>308</v>
      </c>
      <c r="R11" s="18" t="n">
        <v>35.059268</v>
      </c>
      <c r="S11" s="18" t="n">
        <v>36.113226</v>
      </c>
      <c r="T11" s="18" t="n">
        <v>119.950248</v>
      </c>
      <c r="U11" s="18" t="n">
        <v>545.694678</v>
      </c>
      <c r="V11" s="18" t="n">
        <v>0.611445</v>
      </c>
      <c r="W11" s="18" t="n">
        <v>1.301037</v>
      </c>
      <c r="X11" s="18" t="n">
        <v>0.213935</v>
      </c>
      <c r="Y11" s="18" t="n">
        <v>0.288417</v>
      </c>
      <c r="Z11" s="20" t="n">
        <v>0.9492</v>
      </c>
      <c r="AA11" s="20" t="n">
        <v>0.9865</v>
      </c>
      <c r="AB11" s="20" t="n">
        <v>0.8998</v>
      </c>
      <c r="AC11" s="20" t="n">
        <v>0.859</v>
      </c>
    </row>
    <row r="12" ht="15" customHeight="1" s="11">
      <c r="A12" s="17" t="inlineStr">
        <is>
          <t>R36</t>
        </is>
      </c>
      <c r="B12" s="18" t="n">
        <v>379.91</v>
      </c>
      <c r="C12" s="18" t="n">
        <v>339.47</v>
      </c>
      <c r="D12" s="18" t="n">
        <v>66.16</v>
      </c>
      <c r="E12" s="18" t="n">
        <v>36.22</v>
      </c>
      <c r="F12" s="18" t="n">
        <v>399.24</v>
      </c>
      <c r="G12" s="18" t="n">
        <v>424.31</v>
      </c>
      <c r="H12" s="18" t="n">
        <v>306.51</v>
      </c>
      <c r="I12" s="18" t="n">
        <v>394.35</v>
      </c>
      <c r="J12" s="19" t="n">
        <v>244.6</v>
      </c>
      <c r="K12" s="19" t="n">
        <v>252.8</v>
      </c>
      <c r="L12" s="19" t="n">
        <v>496.4</v>
      </c>
      <c r="M12" s="19" t="n">
        <v>572.3</v>
      </c>
      <c r="N12" s="19" t="n">
        <v>324.7</v>
      </c>
      <c r="O12" s="19" t="n">
        <v>299.4</v>
      </c>
      <c r="P12" s="19" t="n">
        <v>320.1</v>
      </c>
      <c r="Q12" s="19" t="n">
        <v>308.9</v>
      </c>
      <c r="R12" s="18" t="n">
        <v>44.606623</v>
      </c>
      <c r="S12" s="18" t="n">
        <v>48.271205</v>
      </c>
      <c r="T12" s="18" t="n">
        <v>162.978408</v>
      </c>
      <c r="U12" s="18" t="n">
        <v>602.633383</v>
      </c>
      <c r="V12" s="18" t="n">
        <v>9.251243000000001</v>
      </c>
      <c r="W12" s="18" t="n">
        <v>7.105547</v>
      </c>
      <c r="X12" s="18" t="n">
        <v>8.508665000000001</v>
      </c>
      <c r="Y12" s="18" t="n">
        <v>8.389544000000001</v>
      </c>
      <c r="Z12" s="20" t="n">
        <v>0.9492</v>
      </c>
      <c r="AA12" s="20" t="n">
        <v>0.9865</v>
      </c>
      <c r="AB12" s="20" t="n">
        <v>0.8998</v>
      </c>
      <c r="AC12" s="20" t="n">
        <v>0.859</v>
      </c>
    </row>
    <row r="13" ht="15" customHeight="1" s="11">
      <c r="A13" s="17" t="inlineStr">
        <is>
          <t>R37</t>
        </is>
      </c>
      <c r="B13" s="18" t="n">
        <v>377.72</v>
      </c>
      <c r="C13" s="18" t="n">
        <v>326.06</v>
      </c>
      <c r="D13" s="18" t="n">
        <v>67.09</v>
      </c>
      <c r="E13" s="18" t="n">
        <v>35.85</v>
      </c>
      <c r="F13" s="18" t="n">
        <v>399.19</v>
      </c>
      <c r="G13" s="18" t="n">
        <v>389.07</v>
      </c>
      <c r="H13" s="18" t="n">
        <v>397.82</v>
      </c>
      <c r="I13" s="18" t="n">
        <v>437.1</v>
      </c>
      <c r="J13" s="19" t="n">
        <v>256.6</v>
      </c>
      <c r="K13" s="19" t="n">
        <v>224</v>
      </c>
      <c r="L13" s="19" t="n">
        <v>491.1</v>
      </c>
      <c r="M13" s="19" t="n">
        <v>564.4</v>
      </c>
      <c r="N13" s="19" t="n">
        <v>323.5</v>
      </c>
      <c r="O13" s="19" t="n">
        <v>301</v>
      </c>
      <c r="P13" s="19" t="n">
        <v>320.3</v>
      </c>
      <c r="Q13" s="19" t="n">
        <v>328.4</v>
      </c>
      <c r="R13" s="18" t="n">
        <v>36.86923</v>
      </c>
      <c r="S13" s="18" t="n">
        <v>35.854704</v>
      </c>
      <c r="T13" s="18" t="n">
        <v>113.777956</v>
      </c>
      <c r="U13" s="18" t="n">
        <v>526.2955899999999</v>
      </c>
      <c r="V13" s="18" t="n">
        <v>4.136338</v>
      </c>
      <c r="W13" s="18" t="n">
        <v>2.926486</v>
      </c>
      <c r="X13" s="18" t="n">
        <v>4.087921</v>
      </c>
      <c r="Y13" s="18" t="n">
        <v>3.907384</v>
      </c>
      <c r="Z13" s="20" t="n">
        <v>0.9492</v>
      </c>
      <c r="AA13" s="20" t="n">
        <v>0.9865</v>
      </c>
      <c r="AB13" s="20" t="n">
        <v>0.8998</v>
      </c>
      <c r="AC13" s="20" t="n">
        <v>0.859</v>
      </c>
    </row>
    <row r="14" ht="15" customHeight="1" s="11">
      <c r="A14" s="17" t="inlineStr">
        <is>
          <t>R38</t>
        </is>
      </c>
      <c r="B14" s="18" t="n">
        <v>437.11</v>
      </c>
      <c r="C14" s="18" t="n">
        <v>410.93</v>
      </c>
      <c r="D14" s="18" t="n">
        <v>69.13</v>
      </c>
      <c r="E14" s="18" t="n">
        <v>36.21</v>
      </c>
      <c r="F14" s="18" t="n">
        <v>337.21</v>
      </c>
      <c r="G14" s="18" t="n">
        <v>328.53</v>
      </c>
      <c r="H14" s="18" t="n">
        <v>433.61</v>
      </c>
      <c r="I14" s="18" t="n">
        <v>324.08</v>
      </c>
      <c r="J14" s="19" t="n">
        <v>246.7</v>
      </c>
      <c r="K14" s="19" t="n">
        <v>227.6</v>
      </c>
      <c r="L14" s="19" t="n">
        <v>496.1</v>
      </c>
      <c r="M14" s="19" t="n">
        <v>561.2</v>
      </c>
      <c r="N14" s="19" t="n">
        <v>323.6</v>
      </c>
      <c r="O14" s="19" t="n">
        <v>299.4</v>
      </c>
      <c r="P14" s="19" t="n">
        <v>320.5</v>
      </c>
      <c r="Q14" s="19" t="n">
        <v>309.3</v>
      </c>
      <c r="R14" s="18" t="n">
        <v>33.447712</v>
      </c>
      <c r="S14" s="18" t="n">
        <v>32.060647</v>
      </c>
      <c r="T14" s="18" t="n">
        <v>108.615497</v>
      </c>
      <c r="U14" s="18" t="n">
        <v>517.765164</v>
      </c>
      <c r="V14" s="18" t="n">
        <v>0.181589</v>
      </c>
      <c r="W14" s="18" t="n">
        <v>0.538871</v>
      </c>
      <c r="X14" s="18" t="n">
        <v>0.254568</v>
      </c>
      <c r="Y14" s="18" t="n">
        <v>0.253861</v>
      </c>
      <c r="Z14" s="20" t="n">
        <v>0.9492</v>
      </c>
      <c r="AA14" s="20" t="n">
        <v>0.9865</v>
      </c>
      <c r="AB14" s="20" t="n">
        <v>0.8998</v>
      </c>
      <c r="AC14" s="20" t="n">
        <v>0.859</v>
      </c>
    </row>
    <row r="15" ht="15" customHeight="1" s="11">
      <c r="A15" s="17" t="inlineStr">
        <is>
          <t>R39</t>
        </is>
      </c>
      <c r="B15" s="18" t="n">
        <v>423.81</v>
      </c>
      <c r="C15" s="18" t="n">
        <v>380.06</v>
      </c>
      <c r="D15" s="18" t="n">
        <v>68.81</v>
      </c>
      <c r="E15" s="18" t="n">
        <v>35.88</v>
      </c>
      <c r="F15" s="18" t="n">
        <v>413.24</v>
      </c>
      <c r="G15" s="18" t="n">
        <v>424.24</v>
      </c>
      <c r="H15" s="18" t="n">
        <v>322.2</v>
      </c>
      <c r="I15" s="18" t="n">
        <v>381.9</v>
      </c>
      <c r="J15" s="19" t="n">
        <v>238</v>
      </c>
      <c r="K15" s="19" t="n">
        <v>232.5</v>
      </c>
      <c r="L15" s="19" t="n">
        <v>492.8</v>
      </c>
      <c r="M15" s="19" t="n">
        <v>581.4</v>
      </c>
      <c r="N15" s="19" t="n">
        <v>324.8</v>
      </c>
      <c r="O15" s="19" t="n">
        <v>299.4</v>
      </c>
      <c r="P15" s="19" t="n">
        <v>320.5</v>
      </c>
      <c r="Q15" s="19" t="n">
        <v>307.9</v>
      </c>
      <c r="R15" s="18" t="n">
        <v>31.143115</v>
      </c>
      <c r="S15" s="18" t="n">
        <v>32.948343</v>
      </c>
      <c r="T15" s="18" t="n">
        <v>107.230086</v>
      </c>
      <c r="U15" s="18" t="n">
        <v>509.584846</v>
      </c>
      <c r="V15" s="18" t="n">
        <v>0.495293</v>
      </c>
      <c r="W15" s="18" t="n">
        <v>0.037381</v>
      </c>
      <c r="X15" s="18" t="n">
        <v>0.065316</v>
      </c>
      <c r="Y15" s="18" t="n">
        <v>0.031139</v>
      </c>
      <c r="Z15" s="20" t="n">
        <v>0.9492</v>
      </c>
      <c r="AA15" s="20" t="n">
        <v>0.9865</v>
      </c>
      <c r="AB15" s="20" t="n">
        <v>0.8998</v>
      </c>
      <c r="AC15" s="20" t="n">
        <v>0.859</v>
      </c>
    </row>
    <row r="16">
      <c r="A16" t="inlineStr">
        <is>
          <t>R40</t>
        </is>
      </c>
      <c r="B16" t="n">
        <v>421.51</v>
      </c>
      <c r="C16" t="n">
        <v>380.73</v>
      </c>
      <c r="D16" t="n">
        <v>57.84</v>
      </c>
      <c r="E16" t="n">
        <v>29.9</v>
      </c>
      <c r="F16" t="n">
        <v>355.84</v>
      </c>
      <c r="G16" t="n">
        <v>414.82</v>
      </c>
      <c r="H16" t="n">
        <v>401.28</v>
      </c>
      <c r="I16" t="n">
        <v>355.61</v>
      </c>
      <c r="J16" t="n">
        <v>252.3</v>
      </c>
      <c r="K16" t="n">
        <v>252</v>
      </c>
      <c r="L16" t="n">
        <v>490.6</v>
      </c>
      <c r="M16" t="n">
        <v>561.2</v>
      </c>
      <c r="N16" t="n">
        <v>323.6</v>
      </c>
      <c r="O16" t="n">
        <v>301.1</v>
      </c>
      <c r="P16" t="n">
        <v>320.2</v>
      </c>
      <c r="Q16" t="n">
        <v>307.4</v>
      </c>
      <c r="R16" t="n">
        <v>35.229767</v>
      </c>
      <c r="S16" t="n">
        <v>30.909548</v>
      </c>
      <c r="T16" t="n">
        <v>135.085045</v>
      </c>
      <c r="U16" t="n">
        <v>537.436122</v>
      </c>
      <c r="V16" t="n">
        <v>5.762166</v>
      </c>
      <c r="W16" t="n">
        <v>3.287348</v>
      </c>
      <c r="X16" t="n">
        <v>4.577887</v>
      </c>
      <c r="Y16" t="n">
        <v>4.507743</v>
      </c>
      <c r="Z16" t="n">
        <v>0.9492</v>
      </c>
      <c r="AA16" t="n">
        <v>0.9865</v>
      </c>
      <c r="AB16" t="n">
        <v>0.8998</v>
      </c>
      <c r="AC16" t="n">
        <v>0.8574000000000001</v>
      </c>
    </row>
  </sheetData>
  <mergeCells count="8">
    <mergeCell ref="B1:E1"/>
    <mergeCell ref="F1:I1"/>
    <mergeCell ref="R1:U1"/>
    <mergeCell ref="N1:Q1"/>
    <mergeCell ref="V1:Y1"/>
    <mergeCell ref="Z1:AC1"/>
    <mergeCell ref="J1:M1"/>
    <mergeCell ref="A1:A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29"/>
  </cols>
  <sheetData>
    <row r="1" ht="19.5" customHeight="1" s="11">
      <c r="A1" s="12" t="inlineStr">
        <is>
          <t>Round</t>
        </is>
      </c>
      <c r="B1" s="12" t="inlineStr">
        <is>
          <t>Encode Speed (MB/s)</t>
        </is>
      </c>
      <c r="C1" s="13" t="n"/>
      <c r="D1" s="13" t="n"/>
      <c r="E1" s="14" t="n"/>
      <c r="F1" s="12" t="inlineStr">
        <is>
          <t>Decode Speed (MB/s)</t>
        </is>
      </c>
      <c r="G1" s="13" t="n"/>
      <c r="H1" s="13" t="n"/>
      <c r="I1" s="14" t="n"/>
      <c r="J1" s="12" t="inlineStr">
        <is>
          <t>Encode RSS (MB)</t>
        </is>
      </c>
      <c r="K1" s="13" t="n"/>
      <c r="L1" s="13" t="n"/>
      <c r="M1" s="14" t="n"/>
      <c r="N1" s="12" t="inlineStr">
        <is>
          <t>Decode RSS (MB)</t>
        </is>
      </c>
      <c r="O1" s="13" t="n"/>
      <c r="P1" s="13" t="n"/>
      <c r="Q1" s="14" t="n"/>
      <c r="R1" s="12" t="inlineStr">
        <is>
          <t>Encode Energy (J)</t>
        </is>
      </c>
      <c r="S1" s="13" t="n"/>
      <c r="T1" s="13" t="n"/>
      <c r="U1" s="14" t="n"/>
      <c r="V1" s="12" t="inlineStr">
        <is>
          <t>Decode Energy (J)</t>
        </is>
      </c>
      <c r="W1" s="13" t="n"/>
      <c r="X1" s="13" t="n"/>
      <c r="Y1" s="14" t="n"/>
      <c r="Z1" s="12" t="inlineStr">
        <is>
          <t>Compress Ratio</t>
        </is>
      </c>
      <c r="AA1" s="13" t="n"/>
      <c r="AB1" s="13" t="n"/>
      <c r="AC1" s="14" t="n"/>
    </row>
    <row r="2" ht="15.75" customHeight="1" s="11">
      <c r="A2" s="15" t="n"/>
      <c r="B2" s="16" t="inlineStr">
        <is>
          <t>BVX3</t>
        </is>
      </c>
      <c r="C2" s="16" t="inlineStr">
        <is>
          <t>Other3</t>
        </is>
      </c>
      <c r="D2" s="16" t="inlineStr">
        <is>
          <t>Lazy2</t>
        </is>
      </c>
      <c r="E2" s="16" t="inlineStr">
        <is>
          <t>Optimal</t>
        </is>
      </c>
      <c r="F2" s="16" t="inlineStr">
        <is>
          <t>BVX3</t>
        </is>
      </c>
      <c r="G2" s="16" t="inlineStr">
        <is>
          <t>Other3</t>
        </is>
      </c>
      <c r="H2" s="16" t="inlineStr">
        <is>
          <t>Lazy2</t>
        </is>
      </c>
      <c r="I2" s="16" t="inlineStr">
        <is>
          <t>Optimal</t>
        </is>
      </c>
      <c r="J2" s="16" t="inlineStr">
        <is>
          <t>BVX3</t>
        </is>
      </c>
      <c r="K2" s="16" t="inlineStr">
        <is>
          <t>Other3</t>
        </is>
      </c>
      <c r="L2" s="16" t="inlineStr">
        <is>
          <t>Lazy2</t>
        </is>
      </c>
      <c r="M2" s="16" t="inlineStr">
        <is>
          <t>Optimal</t>
        </is>
      </c>
      <c r="N2" s="16" t="inlineStr">
        <is>
          <t>BVX3</t>
        </is>
      </c>
      <c r="O2" s="16" t="inlineStr">
        <is>
          <t>Other3</t>
        </is>
      </c>
      <c r="P2" s="16" t="inlineStr">
        <is>
          <t>Lazy2</t>
        </is>
      </c>
      <c r="Q2" s="16" t="inlineStr">
        <is>
          <t>Optimal</t>
        </is>
      </c>
      <c r="R2" s="16" t="inlineStr">
        <is>
          <t>BVX3</t>
        </is>
      </c>
      <c r="S2" s="16" t="inlineStr">
        <is>
          <t>Other3</t>
        </is>
      </c>
      <c r="T2" s="16" t="inlineStr">
        <is>
          <t>Lazy2</t>
        </is>
      </c>
      <c r="U2" s="16" t="inlineStr">
        <is>
          <t>Optimal</t>
        </is>
      </c>
      <c r="V2" s="16" t="inlineStr">
        <is>
          <t>BVX3</t>
        </is>
      </c>
      <c r="W2" s="16" t="inlineStr">
        <is>
          <t>Other3</t>
        </is>
      </c>
      <c r="X2" s="16" t="inlineStr">
        <is>
          <t>Lazy2</t>
        </is>
      </c>
      <c r="Y2" s="16" t="inlineStr">
        <is>
          <t>Optimal</t>
        </is>
      </c>
      <c r="Z2" s="16" t="inlineStr">
        <is>
          <t>BVX3</t>
        </is>
      </c>
      <c r="AA2" s="16" t="inlineStr">
        <is>
          <t>Other3</t>
        </is>
      </c>
      <c r="AB2" s="16" t="inlineStr">
        <is>
          <t>Lazy2</t>
        </is>
      </c>
      <c r="AC2" s="16" t="inlineStr">
        <is>
          <t>Optimal</t>
        </is>
      </c>
    </row>
    <row r="3" ht="15" customHeight="1" s="11">
      <c r="A3" s="17" t="inlineStr">
        <is>
          <t>R27</t>
        </is>
      </c>
      <c r="B3" s="18" t="n">
        <v>398.7</v>
      </c>
      <c r="C3" s="18" t="n">
        <v>423.41</v>
      </c>
      <c r="D3" s="18" t="n">
        <v>186.98</v>
      </c>
      <c r="E3" s="18" t="n">
        <v>60.24</v>
      </c>
      <c r="F3" s="18" t="n">
        <v>292.37</v>
      </c>
      <c r="G3" s="18" t="n">
        <v>283.07</v>
      </c>
      <c r="H3" s="18" t="n">
        <v>308.44</v>
      </c>
      <c r="I3" s="18" t="n">
        <v>300.49</v>
      </c>
      <c r="J3" s="19" t="n">
        <v>394.2</v>
      </c>
      <c r="K3" s="19" t="n">
        <v>271.5</v>
      </c>
      <c r="L3" s="19" t="n">
        <v>518.3</v>
      </c>
      <c r="M3" s="19" t="n">
        <v>572.8</v>
      </c>
      <c r="N3" s="19" t="n">
        <v>344.2</v>
      </c>
      <c r="O3" s="19" t="n">
        <v>341.3</v>
      </c>
      <c r="P3" s="19" t="n">
        <v>341.2</v>
      </c>
      <c r="Q3" s="19" t="n">
        <v>341.8</v>
      </c>
      <c r="R3" s="18" t="n"/>
      <c r="S3" s="18" t="n"/>
      <c r="T3" s="18" t="n"/>
      <c r="U3" s="18" t="n"/>
      <c r="V3" s="18" t="n"/>
      <c r="W3" s="18" t="n"/>
      <c r="X3" s="18" t="n"/>
      <c r="Y3" s="18" t="n"/>
      <c r="Z3" s="20" t="n">
        <v>0.9816</v>
      </c>
      <c r="AA3" s="20" t="n">
        <v>0.9979</v>
      </c>
      <c r="AB3" s="20" t="n">
        <v>0.9588</v>
      </c>
      <c r="AC3" s="20" t="n">
        <v>0.9416</v>
      </c>
    </row>
    <row r="4" ht="15" customHeight="1" s="11">
      <c r="A4" s="17" t="inlineStr">
        <is>
          <t>R28</t>
        </is>
      </c>
      <c r="B4" s="18" t="n">
        <v>448.98</v>
      </c>
      <c r="C4" s="18" t="n">
        <v>455.4</v>
      </c>
      <c r="D4" s="18" t="n">
        <v>193.22</v>
      </c>
      <c r="E4" s="18" t="n">
        <v>60.67</v>
      </c>
      <c r="F4" s="18" t="n">
        <v>224.37</v>
      </c>
      <c r="G4" s="18" t="n">
        <v>270.46</v>
      </c>
      <c r="H4" s="18" t="n">
        <v>294.54</v>
      </c>
      <c r="I4" s="18" t="n">
        <v>235.02</v>
      </c>
      <c r="J4" s="19" t="n">
        <v>380.2</v>
      </c>
      <c r="K4" s="19" t="n">
        <v>385.1</v>
      </c>
      <c r="L4" s="19" t="n">
        <v>515.8</v>
      </c>
      <c r="M4" s="19" t="n">
        <v>581.1</v>
      </c>
      <c r="N4" s="19" t="n">
        <v>343.2</v>
      </c>
      <c r="O4" s="19" t="n">
        <v>341.5</v>
      </c>
      <c r="P4" s="19" t="n">
        <v>341.1</v>
      </c>
      <c r="Q4" s="19" t="n">
        <v>341.5</v>
      </c>
      <c r="R4" s="18" t="n"/>
      <c r="S4" s="18" t="n"/>
      <c r="T4" s="18" t="n"/>
      <c r="U4" s="18" t="n"/>
      <c r="V4" s="18" t="n"/>
      <c r="W4" s="18" t="n"/>
      <c r="X4" s="18" t="n"/>
      <c r="Y4" s="18" t="n"/>
      <c r="Z4" s="20" t="n">
        <v>0.9816</v>
      </c>
      <c r="AA4" s="20" t="n">
        <v>0.9979</v>
      </c>
      <c r="AB4" s="20" t="n">
        <v>0.9588</v>
      </c>
      <c r="AC4" s="20" t="n">
        <v>0.9416</v>
      </c>
    </row>
    <row r="5" ht="15" customHeight="1" s="11">
      <c r="A5" s="17" t="inlineStr">
        <is>
          <t>R29</t>
        </is>
      </c>
      <c r="B5" s="18" t="n">
        <v>448.98</v>
      </c>
      <c r="C5" s="18" t="n">
        <v>455.4</v>
      </c>
      <c r="D5" s="18" t="n">
        <v>193.22</v>
      </c>
      <c r="E5" s="18" t="n">
        <v>60.67</v>
      </c>
      <c r="F5" s="18" t="n">
        <v>224.37</v>
      </c>
      <c r="G5" s="18" t="n">
        <v>270.46</v>
      </c>
      <c r="H5" s="18" t="n">
        <v>294.54</v>
      </c>
      <c r="I5" s="18" t="n">
        <v>235.02</v>
      </c>
      <c r="J5" s="19" t="n">
        <v>380.2</v>
      </c>
      <c r="K5" s="19" t="n">
        <v>385.1</v>
      </c>
      <c r="L5" s="19" t="n">
        <v>515.8</v>
      </c>
      <c r="M5" s="19" t="n">
        <v>581.1</v>
      </c>
      <c r="N5" s="19" t="n">
        <v>343.2</v>
      </c>
      <c r="O5" s="19" t="n">
        <v>341.5</v>
      </c>
      <c r="P5" s="19" t="n">
        <v>341.1</v>
      </c>
      <c r="Q5" s="19" t="n">
        <v>341.5</v>
      </c>
      <c r="R5" s="18" t="n">
        <v>29.202931</v>
      </c>
      <c r="S5" s="18" t="n">
        <v>27.512151</v>
      </c>
      <c r="T5" s="18" t="n">
        <v>50.73156</v>
      </c>
      <c r="U5" s="18" t="n">
        <v>336.916503</v>
      </c>
      <c r="V5" s="18" t="n"/>
      <c r="W5" s="18" t="n"/>
      <c r="X5" s="18" t="n"/>
      <c r="Y5" s="18" t="n"/>
      <c r="Z5" s="20" t="n">
        <v>0.9816</v>
      </c>
      <c r="AA5" s="20" t="n">
        <v>0.9979</v>
      </c>
      <c r="AB5" s="20" t="n">
        <v>0.9588</v>
      </c>
      <c r="AC5" s="20" t="n">
        <v>0.9416</v>
      </c>
    </row>
    <row r="6" ht="15" customHeight="1" s="11">
      <c r="A6" s="17" t="inlineStr">
        <is>
          <t>R30</t>
        </is>
      </c>
      <c r="B6" s="18" t="n">
        <v>390.68</v>
      </c>
      <c r="C6" s="18" t="n">
        <v>405.58</v>
      </c>
      <c r="D6" s="18" t="n">
        <v>189.14</v>
      </c>
      <c r="E6" s="18" t="n">
        <v>60.78</v>
      </c>
      <c r="F6" s="18" t="n">
        <v>197.82</v>
      </c>
      <c r="G6" s="18" t="n">
        <v>242.99</v>
      </c>
      <c r="H6" s="18" t="n">
        <v>268.03</v>
      </c>
      <c r="I6" s="18" t="n">
        <v>225.28</v>
      </c>
      <c r="J6" s="19" t="n">
        <v>361.4</v>
      </c>
      <c r="K6" s="19" t="n">
        <v>356.8</v>
      </c>
      <c r="L6" s="19" t="n">
        <v>531.2</v>
      </c>
      <c r="M6" s="19" t="n">
        <v>600.9</v>
      </c>
      <c r="N6" s="19" t="n">
        <v>351.3</v>
      </c>
      <c r="O6" s="19" t="n">
        <v>349.3</v>
      </c>
      <c r="P6" s="19" t="n">
        <v>349.3</v>
      </c>
      <c r="Q6" s="19" t="n">
        <v>349.9</v>
      </c>
      <c r="R6" s="18" t="n">
        <v>27.06095</v>
      </c>
      <c r="S6" s="18" t="n">
        <v>26.283298</v>
      </c>
      <c r="T6" s="18" t="n">
        <v>46.721709</v>
      </c>
      <c r="U6" s="18" t="n">
        <v>325.627394</v>
      </c>
      <c r="V6" s="18" t="n"/>
      <c r="W6" s="18" t="n"/>
      <c r="X6" s="18" t="n"/>
      <c r="Y6" s="18" t="n"/>
      <c r="Z6" s="20" t="n">
        <v>0.9816</v>
      </c>
      <c r="AA6" s="20" t="n">
        <v>0.9979</v>
      </c>
      <c r="AB6" s="20" t="n">
        <v>0.9588</v>
      </c>
      <c r="AC6" s="20" t="n">
        <v>0.9416</v>
      </c>
    </row>
    <row r="7" ht="15" customHeight="1" s="11">
      <c r="A7" s="17" t="inlineStr">
        <is>
          <t>R31</t>
        </is>
      </c>
      <c r="B7" s="18" t="n">
        <v>303.87</v>
      </c>
      <c r="C7" s="18" t="n">
        <v>282.85</v>
      </c>
      <c r="D7" s="18" t="n">
        <v>176.72</v>
      </c>
      <c r="E7" s="18" t="n">
        <v>59.65</v>
      </c>
      <c r="F7" s="18" t="n">
        <v>272.96</v>
      </c>
      <c r="G7" s="18" t="n">
        <v>230.02</v>
      </c>
      <c r="H7" s="18" t="n">
        <v>239.65</v>
      </c>
      <c r="I7" s="18" t="n">
        <v>247.02</v>
      </c>
      <c r="J7" s="19" t="n">
        <v>365.4</v>
      </c>
      <c r="K7" s="19" t="n">
        <v>368.6</v>
      </c>
      <c r="L7" s="19" t="n">
        <v>518.3</v>
      </c>
      <c r="M7" s="19" t="n">
        <v>586.9</v>
      </c>
      <c r="N7" s="19" t="n">
        <v>351.2</v>
      </c>
      <c r="O7" s="19" t="n">
        <v>349.3</v>
      </c>
      <c r="P7" s="19" t="n">
        <v>348.4</v>
      </c>
      <c r="Q7" s="19" t="n">
        <v>349.7</v>
      </c>
      <c r="R7" s="18" t="n">
        <v>28.262498</v>
      </c>
      <c r="S7" s="18" t="n">
        <v>26.765581</v>
      </c>
      <c r="T7" s="18" t="n">
        <v>50.00129</v>
      </c>
      <c r="U7" s="18" t="n">
        <v>336.032293</v>
      </c>
      <c r="V7" s="18" t="n"/>
      <c r="W7" s="18" t="n">
        <v>0.056525</v>
      </c>
      <c r="X7" s="18" t="n"/>
      <c r="Y7" s="18" t="n"/>
      <c r="Z7" s="20" t="n">
        <v>0.9816</v>
      </c>
      <c r="AA7" s="20" t="n">
        <v>0.9978</v>
      </c>
      <c r="AB7" s="20" t="n">
        <v>0.9583</v>
      </c>
      <c r="AC7" s="20" t="n">
        <v>0.9415</v>
      </c>
    </row>
    <row r="8" ht="15" customHeight="1" s="11">
      <c r="A8" s="17" t="inlineStr">
        <is>
          <t>R32</t>
        </is>
      </c>
      <c r="B8" s="18" t="n">
        <v>301.7</v>
      </c>
      <c r="C8" s="18" t="n">
        <v>281.67</v>
      </c>
      <c r="D8" s="18" t="n">
        <v>177.5</v>
      </c>
      <c r="E8" s="18" t="n">
        <v>59.66</v>
      </c>
      <c r="F8" s="18" t="n">
        <v>204.91</v>
      </c>
      <c r="G8" s="18" t="n">
        <v>257.14</v>
      </c>
      <c r="H8" s="18" t="n">
        <v>296.45</v>
      </c>
      <c r="I8" s="18" t="n">
        <v>217.65</v>
      </c>
      <c r="J8" s="19" t="n">
        <v>376.8</v>
      </c>
      <c r="K8" s="19" t="n">
        <v>389.5</v>
      </c>
      <c r="L8" s="19" t="n">
        <v>500.4</v>
      </c>
      <c r="M8" s="19" t="n">
        <v>577.3</v>
      </c>
      <c r="N8" s="19" t="n">
        <v>351</v>
      </c>
      <c r="O8" s="19" t="n">
        <v>349.2</v>
      </c>
      <c r="P8" s="19" t="n">
        <v>348.3</v>
      </c>
      <c r="Q8" s="19" t="n">
        <v>349.5</v>
      </c>
      <c r="R8" s="18" t="n">
        <v>27.401693</v>
      </c>
      <c r="S8" s="18" t="n">
        <v>25.293345</v>
      </c>
      <c r="T8" s="18" t="n">
        <v>49.178915</v>
      </c>
      <c r="U8" s="18" t="n">
        <v>329.64369</v>
      </c>
      <c r="V8" s="18" t="n">
        <v>0.120664</v>
      </c>
      <c r="W8" s="18" t="n">
        <v>0.169607</v>
      </c>
      <c r="X8" s="18" t="n">
        <v>0.568261</v>
      </c>
      <c r="Y8" s="18" t="n">
        <v>0.456669</v>
      </c>
      <c r="Z8" s="20" t="n">
        <v>0.9816</v>
      </c>
      <c r="AA8" s="20" t="n">
        <v>0.9978</v>
      </c>
      <c r="AB8" s="20" t="n">
        <v>0.9583</v>
      </c>
      <c r="AC8" s="20" t="n">
        <v>0.9421</v>
      </c>
    </row>
    <row r="9" ht="15" customHeight="1" s="11">
      <c r="A9" s="17" t="inlineStr">
        <is>
          <t>R33</t>
        </is>
      </c>
      <c r="B9" s="18" t="n">
        <v>433.57</v>
      </c>
      <c r="C9" s="18" t="n">
        <v>455.81</v>
      </c>
      <c r="D9" s="18" t="n">
        <v>198.03</v>
      </c>
      <c r="E9" s="18" t="n">
        <v>60.06</v>
      </c>
      <c r="F9" s="18" t="n">
        <v>291.52</v>
      </c>
      <c r="G9" s="18" t="n">
        <v>277.42</v>
      </c>
      <c r="H9" s="18" t="n">
        <v>288.38</v>
      </c>
      <c r="I9" s="18" t="n">
        <v>287.14</v>
      </c>
      <c r="J9" s="19" t="n">
        <v>367.5</v>
      </c>
      <c r="K9" s="19" t="n">
        <v>370.3</v>
      </c>
      <c r="L9" s="19" t="n">
        <v>517.2</v>
      </c>
      <c r="M9" s="19" t="n">
        <v>604.2</v>
      </c>
      <c r="N9" s="19" t="n">
        <v>351.1</v>
      </c>
      <c r="O9" s="19" t="n">
        <v>349.4</v>
      </c>
      <c r="P9" s="19" t="n">
        <v>348.4</v>
      </c>
      <c r="Q9" s="19" t="n">
        <v>349.9</v>
      </c>
      <c r="R9" s="18" t="n">
        <v>27.628079</v>
      </c>
      <c r="S9" s="18" t="n">
        <v>24.381924</v>
      </c>
      <c r="T9" s="18" t="n">
        <v>49.236007</v>
      </c>
      <c r="U9" s="18" t="n">
        <v>336.993094</v>
      </c>
      <c r="V9" s="18" t="n">
        <v>3.686107</v>
      </c>
      <c r="W9" s="18" t="n">
        <v>1.279502</v>
      </c>
      <c r="X9" s="18" t="n">
        <v>0.641797</v>
      </c>
      <c r="Y9" s="18" t="n">
        <v>0.249967</v>
      </c>
      <c r="Z9" s="20" t="n">
        <v>0.9816</v>
      </c>
      <c r="AA9" s="20" t="n">
        <v>0.9978</v>
      </c>
      <c r="AB9" s="20" t="n">
        <v>0.9583</v>
      </c>
      <c r="AC9" s="20" t="n">
        <v>0.9434</v>
      </c>
    </row>
    <row r="10" ht="15" customHeight="1" s="11">
      <c r="A10" s="17" t="inlineStr">
        <is>
          <t>R34</t>
        </is>
      </c>
      <c r="B10" s="18" t="n">
        <v>433.57</v>
      </c>
      <c r="C10" s="18" t="n">
        <v>455.81</v>
      </c>
      <c r="D10" s="18" t="n">
        <v>198.03</v>
      </c>
      <c r="E10" s="18" t="n">
        <v>60.06</v>
      </c>
      <c r="F10" s="18" t="n">
        <v>291.52</v>
      </c>
      <c r="G10" s="18" t="n">
        <v>277.42</v>
      </c>
      <c r="H10" s="18" t="n">
        <v>288.38</v>
      </c>
      <c r="I10" s="18" t="n">
        <v>287.14</v>
      </c>
      <c r="J10" s="19" t="n">
        <v>367.5</v>
      </c>
      <c r="K10" s="19" t="n">
        <v>370.3</v>
      </c>
      <c r="L10" s="19" t="n">
        <v>517.2</v>
      </c>
      <c r="M10" s="19" t="n">
        <v>604.2</v>
      </c>
      <c r="N10" s="19" t="n">
        <v>351.1</v>
      </c>
      <c r="O10" s="19" t="n">
        <v>349.4</v>
      </c>
      <c r="P10" s="19" t="n">
        <v>348.4</v>
      </c>
      <c r="Q10" s="19" t="n">
        <v>349.9</v>
      </c>
      <c r="R10" s="18" t="n">
        <v>27.628079</v>
      </c>
      <c r="S10" s="18" t="n">
        <v>24.381924</v>
      </c>
      <c r="T10" s="18" t="n">
        <v>49.236007</v>
      </c>
      <c r="U10" s="18" t="n">
        <v>336.993094</v>
      </c>
      <c r="V10" s="18" t="n">
        <v>3.686107</v>
      </c>
      <c r="W10" s="18" t="n">
        <v>1.279502</v>
      </c>
      <c r="X10" s="18" t="n">
        <v>0.641797</v>
      </c>
      <c r="Y10" s="18" t="n">
        <v>0.249967</v>
      </c>
      <c r="Z10" s="20" t="n">
        <v>0.9816</v>
      </c>
      <c r="AA10" s="20" t="n">
        <v>0.9978</v>
      </c>
      <c r="AB10" s="20" t="n">
        <v>0.9583</v>
      </c>
      <c r="AC10" s="20" t="n">
        <v>0.9434</v>
      </c>
    </row>
    <row r="11" ht="15" customHeight="1" s="11">
      <c r="A11" s="17" t="inlineStr">
        <is>
          <t>R35</t>
        </is>
      </c>
      <c r="B11" s="18" t="n">
        <v>95.53</v>
      </c>
      <c r="C11" s="18" t="n">
        <v>95.29000000000001</v>
      </c>
      <c r="D11" s="18" t="n">
        <v>85.25</v>
      </c>
      <c r="E11" s="18" t="n">
        <v>49.89</v>
      </c>
      <c r="F11" s="18" t="n">
        <v>87.54000000000001</v>
      </c>
      <c r="G11" s="18" t="n">
        <v>87.79000000000001</v>
      </c>
      <c r="H11" s="18" t="n">
        <v>89.38</v>
      </c>
      <c r="I11" s="18" t="n">
        <v>88.28</v>
      </c>
      <c r="J11" s="19" t="n">
        <v>347</v>
      </c>
      <c r="K11" s="19" t="n">
        <v>348.3</v>
      </c>
      <c r="L11" s="19" t="n">
        <v>497</v>
      </c>
      <c r="M11" s="19" t="n">
        <v>587.2</v>
      </c>
      <c r="N11" s="19" t="n">
        <v>351.4</v>
      </c>
      <c r="O11" s="19" t="n">
        <v>349.1</v>
      </c>
      <c r="P11" s="19" t="n">
        <v>348.8</v>
      </c>
      <c r="Q11" s="19" t="n">
        <v>349.3</v>
      </c>
      <c r="R11" s="18" t="n">
        <v>27.975481</v>
      </c>
      <c r="S11" s="18" t="n">
        <v>30.003544</v>
      </c>
      <c r="T11" s="18" t="n">
        <v>59.204837</v>
      </c>
      <c r="U11" s="18" t="n">
        <v>371.502908</v>
      </c>
      <c r="V11" s="18" t="n">
        <v>2.628152</v>
      </c>
      <c r="W11" s="18" t="n">
        <v>2.932252</v>
      </c>
      <c r="X11" s="18" t="n"/>
      <c r="Y11" s="18" t="n">
        <v>2.496657</v>
      </c>
      <c r="Z11" s="20" t="n">
        <v>0.9787</v>
      </c>
      <c r="AA11" s="20" t="n">
        <v>0.9957</v>
      </c>
      <c r="AB11" s="20" t="n">
        <v>0.9550999999999999</v>
      </c>
      <c r="AC11" s="20" t="n">
        <v>0.9393</v>
      </c>
    </row>
    <row r="12" ht="15" customHeight="1" s="11">
      <c r="A12" s="17" t="inlineStr">
        <is>
          <t>R36</t>
        </is>
      </c>
      <c r="B12" s="18" t="n">
        <v>100.93</v>
      </c>
      <c r="C12" s="18" t="n">
        <v>100.78</v>
      </c>
      <c r="D12" s="18" t="n">
        <v>91.11</v>
      </c>
      <c r="E12" s="18" t="n">
        <v>50.42</v>
      </c>
      <c r="F12" s="18" t="n">
        <v>86.31999999999999</v>
      </c>
      <c r="G12" s="18" t="n">
        <v>83.84</v>
      </c>
      <c r="H12" s="18" t="n">
        <v>83.31</v>
      </c>
      <c r="I12" s="18" t="n">
        <v>84.65000000000001</v>
      </c>
      <c r="J12" s="19" t="n">
        <v>347.8</v>
      </c>
      <c r="K12" s="19" t="n">
        <v>340.4</v>
      </c>
      <c r="L12" s="19" t="n">
        <v>464.4</v>
      </c>
      <c r="M12" s="19" t="n">
        <v>563.5</v>
      </c>
      <c r="N12" s="19" t="n">
        <v>351.2</v>
      </c>
      <c r="O12" s="19" t="n">
        <v>349</v>
      </c>
      <c r="P12" s="19" t="n">
        <v>348.8</v>
      </c>
      <c r="Q12" s="19" t="n">
        <v>348.9</v>
      </c>
      <c r="R12" s="18" t="n">
        <v>35.780564</v>
      </c>
      <c r="S12" s="18" t="n">
        <v>35.6582</v>
      </c>
      <c r="T12" s="18" t="n">
        <v>70.37296600000001</v>
      </c>
      <c r="U12" s="18" t="n">
        <v>407.283755</v>
      </c>
      <c r="V12" s="18" t="n">
        <v>6.110705</v>
      </c>
      <c r="W12" s="18" t="n">
        <v>5.214195</v>
      </c>
      <c r="X12" s="18" t="n">
        <v>5.032602</v>
      </c>
      <c r="Y12" s="18" t="n">
        <v>5.858178</v>
      </c>
      <c r="Z12" s="20" t="n">
        <v>0.9787</v>
      </c>
      <c r="AA12" s="20" t="n">
        <v>0.9957</v>
      </c>
      <c r="AB12" s="20" t="n">
        <v>0.9550999999999999</v>
      </c>
      <c r="AC12" s="20" t="n">
        <v>0.9393</v>
      </c>
    </row>
    <row r="13" ht="15" customHeight="1" s="11">
      <c r="A13" s="17" t="inlineStr">
        <is>
          <t>R37</t>
        </is>
      </c>
      <c r="B13" s="18" t="n">
        <v>88.54000000000001</v>
      </c>
      <c r="C13" s="18" t="n">
        <v>88.43000000000001</v>
      </c>
      <c r="D13" s="18" t="n">
        <v>83.09</v>
      </c>
      <c r="E13" s="18" t="n">
        <v>49.85</v>
      </c>
      <c r="F13" s="18" t="n">
        <v>86.45999999999999</v>
      </c>
      <c r="G13" s="18" t="n">
        <v>86.81</v>
      </c>
      <c r="H13" s="18" t="n">
        <v>88.67</v>
      </c>
      <c r="I13" s="18" t="n">
        <v>89.25</v>
      </c>
      <c r="J13" s="19" t="n">
        <v>343.5</v>
      </c>
      <c r="K13" s="19" t="n">
        <v>349.4</v>
      </c>
      <c r="L13" s="19" t="n">
        <v>487.4</v>
      </c>
      <c r="M13" s="19" t="n">
        <v>600.6</v>
      </c>
      <c r="N13" s="19" t="n">
        <v>350.9</v>
      </c>
      <c r="O13" s="19" t="n">
        <v>349</v>
      </c>
      <c r="P13" s="19" t="n">
        <v>348.9</v>
      </c>
      <c r="Q13" s="19" t="n">
        <v>348.8</v>
      </c>
      <c r="R13" s="18" t="n">
        <v>28.439439</v>
      </c>
      <c r="S13" s="18" t="n">
        <v>27.404132</v>
      </c>
      <c r="T13" s="18" t="n">
        <v>49.563479</v>
      </c>
      <c r="U13" s="18" t="n">
        <v>364.600403</v>
      </c>
      <c r="V13" s="18" t="n">
        <v>2.652776</v>
      </c>
      <c r="W13" s="18" t="n">
        <v>2.636352</v>
      </c>
      <c r="X13" s="18" t="n">
        <v>2.487438</v>
      </c>
      <c r="Y13" s="18" t="n">
        <v>2.747863</v>
      </c>
      <c r="Z13" s="20" t="n">
        <v>0.9787</v>
      </c>
      <c r="AA13" s="20" t="n">
        <v>0.9957</v>
      </c>
      <c r="AB13" s="20" t="n">
        <v>0.9550999999999999</v>
      </c>
      <c r="AC13" s="20" t="n">
        <v>0.9393</v>
      </c>
    </row>
    <row r="14" ht="15" customHeight="1" s="11">
      <c r="A14" s="17" t="inlineStr">
        <is>
          <t>R38</t>
        </is>
      </c>
      <c r="B14" s="18" t="n">
        <v>96.31</v>
      </c>
      <c r="C14" s="18" t="n">
        <v>98.58</v>
      </c>
      <c r="D14" s="18" t="n">
        <v>89.04000000000001</v>
      </c>
      <c r="E14" s="18" t="n">
        <v>50.42</v>
      </c>
      <c r="F14" s="18" t="n">
        <v>84.08</v>
      </c>
      <c r="G14" s="18" t="n">
        <v>88.47</v>
      </c>
      <c r="H14" s="18" t="n">
        <v>87.77</v>
      </c>
      <c r="I14" s="18" t="n">
        <v>81.63</v>
      </c>
      <c r="J14" s="19" t="n">
        <v>355.3</v>
      </c>
      <c r="K14" s="19" t="n">
        <v>335.5</v>
      </c>
      <c r="L14" s="19" t="n">
        <v>481.8</v>
      </c>
      <c r="M14" s="19" t="n">
        <v>597.2</v>
      </c>
      <c r="N14" s="19" t="n">
        <v>351.3</v>
      </c>
      <c r="O14" s="19" t="n">
        <v>349</v>
      </c>
      <c r="P14" s="19" t="n">
        <v>348.8</v>
      </c>
      <c r="Q14" s="19" t="n">
        <v>349.2</v>
      </c>
      <c r="R14" s="18" t="n">
        <v>24.794849</v>
      </c>
      <c r="S14" s="18" t="n">
        <v>24.936548</v>
      </c>
      <c r="T14" s="18" t="n">
        <v>44.959099</v>
      </c>
      <c r="U14" s="18" t="n">
        <v>359.194748</v>
      </c>
      <c r="V14" s="18" t="n">
        <v>0.192758</v>
      </c>
      <c r="W14" s="18" t="n">
        <v>0.247449</v>
      </c>
      <c r="X14" s="18" t="n">
        <v>0.307893</v>
      </c>
      <c r="Y14" s="18" t="n">
        <v>0.061502</v>
      </c>
      <c r="Z14" s="20" t="n">
        <v>0.9787</v>
      </c>
      <c r="AA14" s="20" t="n">
        <v>0.9957</v>
      </c>
      <c r="AB14" s="20" t="n">
        <v>0.9550999999999999</v>
      </c>
      <c r="AC14" s="20" t="n">
        <v>0.9393</v>
      </c>
    </row>
    <row r="15" ht="15" customHeight="1" s="11">
      <c r="A15" s="17" t="inlineStr">
        <is>
          <t>R39</t>
        </is>
      </c>
      <c r="B15" s="18" t="n">
        <v>95.39</v>
      </c>
      <c r="C15" s="18" t="n">
        <v>96.05</v>
      </c>
      <c r="D15" s="18" t="n">
        <v>87.36</v>
      </c>
      <c r="E15" s="18" t="n">
        <v>50.12</v>
      </c>
      <c r="F15" s="18" t="n">
        <v>84.36</v>
      </c>
      <c r="G15" s="18" t="n">
        <v>83.36</v>
      </c>
      <c r="H15" s="18" t="n">
        <v>85.93000000000001</v>
      </c>
      <c r="I15" s="18" t="n">
        <v>85.93000000000001</v>
      </c>
      <c r="J15" s="19" t="n">
        <v>336.4</v>
      </c>
      <c r="K15" s="19" t="n">
        <v>288.5</v>
      </c>
      <c r="L15" s="19" t="n">
        <v>486.2</v>
      </c>
      <c r="M15" s="19" t="n">
        <v>579.2</v>
      </c>
      <c r="N15" s="19" t="n">
        <v>351.3</v>
      </c>
      <c r="O15" s="19" t="n">
        <v>349</v>
      </c>
      <c r="P15" s="19" t="n">
        <v>348.8</v>
      </c>
      <c r="Q15" s="19" t="n">
        <v>348.9</v>
      </c>
      <c r="R15" s="18" t="n">
        <v>23.61635</v>
      </c>
      <c r="S15" s="18" t="n">
        <v>19.722189</v>
      </c>
      <c r="T15" s="18" t="n">
        <v>46.799366</v>
      </c>
      <c r="U15" s="18" t="n">
        <v>357.90825</v>
      </c>
      <c r="V15" s="18" t="n">
        <v>0.026834</v>
      </c>
      <c r="W15" s="18" t="n">
        <v>0.033256</v>
      </c>
      <c r="X15" s="18" t="n">
        <v>0.03446</v>
      </c>
      <c r="Y15" s="18" t="n">
        <v>0.043203</v>
      </c>
      <c r="Z15" s="20" t="n">
        <v>0.9787</v>
      </c>
      <c r="AA15" s="20" t="n">
        <v>0.9957</v>
      </c>
      <c r="AB15" s="20" t="n">
        <v>0.9550999999999999</v>
      </c>
      <c r="AC15" s="20" t="n">
        <v>0.9393</v>
      </c>
    </row>
    <row r="16">
      <c r="A16" t="inlineStr">
        <is>
          <t>R40</t>
        </is>
      </c>
      <c r="B16" t="n">
        <v>88.97</v>
      </c>
      <c r="C16" t="n">
        <v>86.81</v>
      </c>
      <c r="D16" t="n">
        <v>84.81</v>
      </c>
      <c r="E16" t="n">
        <v>46.97</v>
      </c>
      <c r="F16" t="n">
        <v>81.40000000000001</v>
      </c>
      <c r="G16" t="n">
        <v>80.65000000000001</v>
      </c>
      <c r="H16" t="n">
        <v>83.8</v>
      </c>
      <c r="I16" t="n">
        <v>79.28</v>
      </c>
      <c r="J16" t="n">
        <v>356.1</v>
      </c>
      <c r="K16" t="n">
        <v>362.2</v>
      </c>
      <c r="L16" t="n">
        <v>496.6</v>
      </c>
      <c r="M16" t="n">
        <v>821.4</v>
      </c>
      <c r="N16" t="n">
        <v>351.4</v>
      </c>
      <c r="O16" t="n">
        <v>349</v>
      </c>
      <c r="P16" t="n">
        <v>348.8</v>
      </c>
      <c r="Q16" t="n">
        <v>349.3</v>
      </c>
      <c r="R16" t="n">
        <v>34.261963</v>
      </c>
      <c r="S16" t="n">
        <v>30.715731</v>
      </c>
      <c r="T16" t="n">
        <v>56.360218</v>
      </c>
      <c r="U16" t="n">
        <v>349.611639</v>
      </c>
      <c r="V16" t="n">
        <v>2.491499</v>
      </c>
      <c r="W16" t="n">
        <v>2.14579</v>
      </c>
      <c r="X16" t="n">
        <v>2.170224</v>
      </c>
      <c r="Y16" t="n">
        <v>2.703185</v>
      </c>
      <c r="Z16" t="n">
        <v>0.9787</v>
      </c>
      <c r="AA16" t="n">
        <v>0.9958</v>
      </c>
      <c r="AB16" t="n">
        <v>0.9550999999999999</v>
      </c>
      <c r="AC16" t="n">
        <v>0.9387</v>
      </c>
    </row>
  </sheetData>
  <mergeCells count="8">
    <mergeCell ref="B1:E1"/>
    <mergeCell ref="F1:I1"/>
    <mergeCell ref="R1:U1"/>
    <mergeCell ref="N1:Q1"/>
    <mergeCell ref="V1:Y1"/>
    <mergeCell ref="Z1:AC1"/>
    <mergeCell ref="J1:M1"/>
    <mergeCell ref="A1:A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9"/>
  </cols>
  <sheetData>
    <row r="1" ht="24" customHeight="1" s="11">
      <c r="A1" s="21" t="inlineStr">
        <is>
          <t>claw-code — Speed Trend (n=40, R27–R40)</t>
        </is>
      </c>
    </row>
    <row r="2" ht="23.85" customHeight="1" s="11">
      <c r="A2" s="12" t="inlineStr">
        <is>
          <t>Round</t>
        </is>
      </c>
      <c r="B2" s="16" t="inlineStr">
        <is>
          <t>enc-BVX3</t>
        </is>
      </c>
      <c r="C2" s="16" t="inlineStr">
        <is>
          <t>enc-Other3</t>
        </is>
      </c>
      <c r="D2" s="16" t="inlineStr">
        <is>
          <t>enc-Lazy2</t>
        </is>
      </c>
      <c r="E2" s="16" t="inlineStr">
        <is>
          <t>enc-Optimal</t>
        </is>
      </c>
      <c r="F2" s="16" t="inlineStr">
        <is>
          <t>dec-BVX3</t>
        </is>
      </c>
      <c r="G2" s="16" t="inlineStr">
        <is>
          <t>dec-Other3</t>
        </is>
      </c>
      <c r="H2" s="16" t="inlineStr">
        <is>
          <t>dec-Lazy2</t>
        </is>
      </c>
      <c r="I2" s="16" t="inlineStr">
        <is>
          <t>dec-Optimal</t>
        </is>
      </c>
    </row>
    <row r="3" ht="15" customHeight="1" s="11">
      <c r="A3" s="22" t="inlineStr">
        <is>
          <t>R27</t>
        </is>
      </c>
      <c r="B3" s="23">
        <f>'Raw_claw-code'!B3</f>
        <v/>
      </c>
      <c r="C3" s="23">
        <f>'Raw_claw-code'!C3</f>
        <v/>
      </c>
      <c r="D3" s="23">
        <f>'Raw_claw-code'!D3</f>
        <v/>
      </c>
      <c r="E3" s="23">
        <f>'Raw_claw-code'!E3</f>
        <v/>
      </c>
      <c r="F3" s="23">
        <f>'Raw_claw-code'!F3</f>
        <v/>
      </c>
      <c r="G3" s="23">
        <f>'Raw_claw-code'!G3</f>
        <v/>
      </c>
      <c r="H3" s="23">
        <f>'Raw_claw-code'!H3</f>
        <v/>
      </c>
      <c r="I3" s="23">
        <f>'Raw_claw-code'!I3</f>
        <v/>
      </c>
    </row>
    <row r="4" ht="15" customHeight="1" s="11">
      <c r="A4" s="22" t="inlineStr">
        <is>
          <t>R28</t>
        </is>
      </c>
      <c r="B4" s="23">
        <f>'Raw_claw-code'!B4</f>
        <v/>
      </c>
      <c r="C4" s="23">
        <f>'Raw_claw-code'!C4</f>
        <v/>
      </c>
      <c r="D4" s="23">
        <f>'Raw_claw-code'!D4</f>
        <v/>
      </c>
      <c r="E4" s="23">
        <f>'Raw_claw-code'!E4</f>
        <v/>
      </c>
      <c r="F4" s="23">
        <f>'Raw_claw-code'!F4</f>
        <v/>
      </c>
      <c r="G4" s="23">
        <f>'Raw_claw-code'!G4</f>
        <v/>
      </c>
      <c r="H4" s="23">
        <f>'Raw_claw-code'!H4</f>
        <v/>
      </c>
      <c r="I4" s="23">
        <f>'Raw_claw-code'!I4</f>
        <v/>
      </c>
    </row>
    <row r="5" ht="15" customHeight="1" s="11">
      <c r="A5" s="22" t="inlineStr">
        <is>
          <t>R29</t>
        </is>
      </c>
      <c r="B5" s="23">
        <f>'Raw_claw-code'!B5</f>
        <v/>
      </c>
      <c r="C5" s="23">
        <f>'Raw_claw-code'!C5</f>
        <v/>
      </c>
      <c r="D5" s="23">
        <f>'Raw_claw-code'!D5</f>
        <v/>
      </c>
      <c r="E5" s="23">
        <f>'Raw_claw-code'!E5</f>
        <v/>
      </c>
      <c r="F5" s="23">
        <f>'Raw_claw-code'!F5</f>
        <v/>
      </c>
      <c r="G5" s="23">
        <f>'Raw_claw-code'!G5</f>
        <v/>
      </c>
      <c r="H5" s="23">
        <f>'Raw_claw-code'!H5</f>
        <v/>
      </c>
      <c r="I5" s="23">
        <f>'Raw_claw-code'!I5</f>
        <v/>
      </c>
    </row>
    <row r="6" ht="15" customHeight="1" s="11">
      <c r="A6" s="22" t="inlineStr">
        <is>
          <t>R30</t>
        </is>
      </c>
      <c r="B6" s="23">
        <f>'Raw_claw-code'!B6</f>
        <v/>
      </c>
      <c r="C6" s="23">
        <f>'Raw_claw-code'!C6</f>
        <v/>
      </c>
      <c r="D6" s="23">
        <f>'Raw_claw-code'!D6</f>
        <v/>
      </c>
      <c r="E6" s="23">
        <f>'Raw_claw-code'!E6</f>
        <v/>
      </c>
      <c r="F6" s="23">
        <f>'Raw_claw-code'!F6</f>
        <v/>
      </c>
      <c r="G6" s="23">
        <f>'Raw_claw-code'!G6</f>
        <v/>
      </c>
      <c r="H6" s="23">
        <f>'Raw_claw-code'!H6</f>
        <v/>
      </c>
      <c r="I6" s="23">
        <f>'Raw_claw-code'!I6</f>
        <v/>
      </c>
    </row>
    <row r="7" ht="15" customHeight="1" s="11">
      <c r="A7" s="22" t="inlineStr">
        <is>
          <t>R31</t>
        </is>
      </c>
      <c r="B7" s="23">
        <f>'Raw_claw-code'!B7</f>
        <v/>
      </c>
      <c r="C7" s="23">
        <f>'Raw_claw-code'!C7</f>
        <v/>
      </c>
      <c r="D7" s="23">
        <f>'Raw_claw-code'!D7</f>
        <v/>
      </c>
      <c r="E7" s="23">
        <f>'Raw_claw-code'!E7</f>
        <v/>
      </c>
      <c r="F7" s="23">
        <f>'Raw_claw-code'!F7</f>
        <v/>
      </c>
      <c r="G7" s="23">
        <f>'Raw_claw-code'!G7</f>
        <v/>
      </c>
      <c r="H7" s="23">
        <f>'Raw_claw-code'!H7</f>
        <v/>
      </c>
      <c r="I7" s="23">
        <f>'Raw_claw-code'!I7</f>
        <v/>
      </c>
    </row>
    <row r="8" ht="15" customHeight="1" s="11">
      <c r="A8" s="22" t="inlineStr">
        <is>
          <t>R32</t>
        </is>
      </c>
      <c r="B8" s="23">
        <f>'Raw_claw-code'!B8</f>
        <v/>
      </c>
      <c r="C8" s="23">
        <f>'Raw_claw-code'!C8</f>
        <v/>
      </c>
      <c r="D8" s="23">
        <f>'Raw_claw-code'!D8</f>
        <v/>
      </c>
      <c r="E8" s="23">
        <f>'Raw_claw-code'!E8</f>
        <v/>
      </c>
      <c r="F8" s="23">
        <f>'Raw_claw-code'!F8</f>
        <v/>
      </c>
      <c r="G8" s="23">
        <f>'Raw_claw-code'!G8</f>
        <v/>
      </c>
      <c r="H8" s="23">
        <f>'Raw_claw-code'!H8</f>
        <v/>
      </c>
      <c r="I8" s="23">
        <f>'Raw_claw-code'!I8</f>
        <v/>
      </c>
    </row>
    <row r="9" ht="15" customHeight="1" s="11">
      <c r="A9" s="22" t="inlineStr">
        <is>
          <t>R33</t>
        </is>
      </c>
      <c r="B9" s="23">
        <f>'Raw_claw-code'!B9</f>
        <v/>
      </c>
      <c r="C9" s="23">
        <f>'Raw_claw-code'!C9</f>
        <v/>
      </c>
      <c r="D9" s="23">
        <f>'Raw_claw-code'!D9</f>
        <v/>
      </c>
      <c r="E9" s="23">
        <f>'Raw_claw-code'!E9</f>
        <v/>
      </c>
      <c r="F9" s="23">
        <f>'Raw_claw-code'!F9</f>
        <v/>
      </c>
      <c r="G9" s="23">
        <f>'Raw_claw-code'!G9</f>
        <v/>
      </c>
      <c r="H9" s="23">
        <f>'Raw_claw-code'!H9</f>
        <v/>
      </c>
      <c r="I9" s="23">
        <f>'Raw_claw-code'!I9</f>
        <v/>
      </c>
    </row>
    <row r="10" ht="15" customHeight="1" s="11">
      <c r="A10" s="22" t="inlineStr">
        <is>
          <t>R34</t>
        </is>
      </c>
      <c r="B10" s="23">
        <f>'Raw_claw-code'!B10</f>
        <v/>
      </c>
      <c r="C10" s="23">
        <f>'Raw_claw-code'!C10</f>
        <v/>
      </c>
      <c r="D10" s="23">
        <f>'Raw_claw-code'!D10</f>
        <v/>
      </c>
      <c r="E10" s="23">
        <f>'Raw_claw-code'!E10</f>
        <v/>
      </c>
      <c r="F10" s="23">
        <f>'Raw_claw-code'!F10</f>
        <v/>
      </c>
      <c r="G10" s="23">
        <f>'Raw_claw-code'!G10</f>
        <v/>
      </c>
      <c r="H10" s="23">
        <f>'Raw_claw-code'!H10</f>
        <v/>
      </c>
      <c r="I10" s="23">
        <f>'Raw_claw-code'!I10</f>
        <v/>
      </c>
    </row>
    <row r="11" ht="15" customHeight="1" s="11">
      <c r="A11" s="22" t="inlineStr">
        <is>
          <t>R35</t>
        </is>
      </c>
      <c r="B11" s="23">
        <f>'Raw_claw-code'!B11</f>
        <v/>
      </c>
      <c r="C11" s="23">
        <f>'Raw_claw-code'!C11</f>
        <v/>
      </c>
      <c r="D11" s="23">
        <f>'Raw_claw-code'!D11</f>
        <v/>
      </c>
      <c r="E11" s="23">
        <f>'Raw_claw-code'!E11</f>
        <v/>
      </c>
      <c r="F11" s="23">
        <f>'Raw_claw-code'!F11</f>
        <v/>
      </c>
      <c r="G11" s="23">
        <f>'Raw_claw-code'!G11</f>
        <v/>
      </c>
      <c r="H11" s="23">
        <f>'Raw_claw-code'!H11</f>
        <v/>
      </c>
      <c r="I11" s="23">
        <f>'Raw_claw-code'!I11</f>
        <v/>
      </c>
    </row>
    <row r="12" ht="15" customHeight="1" s="11">
      <c r="A12" s="22" t="inlineStr">
        <is>
          <t>R36</t>
        </is>
      </c>
      <c r="B12" s="23">
        <f>'Raw_claw-code'!B12</f>
        <v/>
      </c>
      <c r="C12" s="23">
        <f>'Raw_claw-code'!C12</f>
        <v/>
      </c>
      <c r="D12" s="23">
        <f>'Raw_claw-code'!D12</f>
        <v/>
      </c>
      <c r="E12" s="23">
        <f>'Raw_claw-code'!E12</f>
        <v/>
      </c>
      <c r="F12" s="23">
        <f>'Raw_claw-code'!F12</f>
        <v/>
      </c>
      <c r="G12" s="23">
        <f>'Raw_claw-code'!G12</f>
        <v/>
      </c>
      <c r="H12" s="23">
        <f>'Raw_claw-code'!H12</f>
        <v/>
      </c>
      <c r="I12" s="23">
        <f>'Raw_claw-code'!I12</f>
        <v/>
      </c>
    </row>
    <row r="13" ht="15" customHeight="1" s="11">
      <c r="A13" s="22" t="inlineStr">
        <is>
          <t>R37</t>
        </is>
      </c>
      <c r="B13" s="23">
        <f>'Raw_claw-code'!B13</f>
        <v/>
      </c>
      <c r="C13" s="23">
        <f>'Raw_claw-code'!C13</f>
        <v/>
      </c>
      <c r="D13" s="23">
        <f>'Raw_claw-code'!D13</f>
        <v/>
      </c>
      <c r="E13" s="23">
        <f>'Raw_claw-code'!E13</f>
        <v/>
      </c>
      <c r="F13" s="23">
        <f>'Raw_claw-code'!F13</f>
        <v/>
      </c>
      <c r="G13" s="23">
        <f>'Raw_claw-code'!G13</f>
        <v/>
      </c>
      <c r="H13" s="23">
        <f>'Raw_claw-code'!H13</f>
        <v/>
      </c>
      <c r="I13" s="23">
        <f>'Raw_claw-code'!I13</f>
        <v/>
      </c>
    </row>
    <row r="14" ht="15" customHeight="1" s="11">
      <c r="A14" s="22" t="inlineStr">
        <is>
          <t>R38</t>
        </is>
      </c>
      <c r="B14" s="23">
        <f>'Raw_claw-code'!B14</f>
        <v/>
      </c>
      <c r="C14" s="23">
        <f>'Raw_claw-code'!C14</f>
        <v/>
      </c>
      <c r="D14" s="23">
        <f>'Raw_claw-code'!D14</f>
        <v/>
      </c>
      <c r="E14" s="23">
        <f>'Raw_claw-code'!E14</f>
        <v/>
      </c>
      <c r="F14" s="23">
        <f>'Raw_claw-code'!F14</f>
        <v/>
      </c>
      <c r="G14" s="23">
        <f>'Raw_claw-code'!G14</f>
        <v/>
      </c>
      <c r="H14" s="23">
        <f>'Raw_claw-code'!H14</f>
        <v/>
      </c>
      <c r="I14" s="23">
        <f>'Raw_claw-code'!I14</f>
        <v/>
      </c>
    </row>
    <row r="15" ht="15" customHeight="1" s="11">
      <c r="A15" s="22" t="inlineStr">
        <is>
          <t>R39</t>
        </is>
      </c>
      <c r="B15" s="23">
        <f>'Raw_claw-code'!B15</f>
        <v/>
      </c>
      <c r="C15" s="23">
        <f>'Raw_claw-code'!C15</f>
        <v/>
      </c>
      <c r="D15" s="23">
        <f>'Raw_claw-code'!D15</f>
        <v/>
      </c>
      <c r="E15" s="23">
        <f>'Raw_claw-code'!E15</f>
        <v/>
      </c>
      <c r="F15" s="23">
        <f>'Raw_claw-code'!F15</f>
        <v/>
      </c>
      <c r="G15" s="23">
        <f>'Raw_claw-code'!G15</f>
        <v/>
      </c>
      <c r="H15" s="23">
        <f>'Raw_claw-code'!H15</f>
        <v/>
      </c>
      <c r="I15" s="23">
        <f>'Raw_claw-code'!I15</f>
        <v/>
      </c>
    </row>
    <row r="16">
      <c r="A16" t="inlineStr">
        <is>
          <t>R40</t>
        </is>
      </c>
      <c r="B16">
        <f>'Raw_claw-code'!B16</f>
        <v/>
      </c>
      <c r="C16">
        <f>'Raw_claw-code'!C16</f>
        <v/>
      </c>
      <c r="D16">
        <f>'Raw_claw-code'!D16</f>
        <v/>
      </c>
      <c r="E16">
        <f>'Raw_claw-code'!E16</f>
        <v/>
      </c>
      <c r="F16">
        <f>'Raw_claw-code'!F16</f>
        <v/>
      </c>
      <c r="G16">
        <f>'Raw_claw-code'!G16</f>
        <v/>
      </c>
      <c r="H16">
        <f>'Raw_claw-code'!H16</f>
        <v/>
      </c>
      <c r="I16">
        <f>'Raw_claw-code'!I16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9"/>
  </cols>
  <sheetData>
    <row r="1" ht="24" customHeight="1" s="11">
      <c r="A1" s="21" t="inlineStr">
        <is>
          <t>claw-code — RSS Trend (n=40, R27–R40)</t>
        </is>
      </c>
    </row>
    <row r="2" ht="23.85" customHeight="1" s="11">
      <c r="A2" s="12" t="inlineStr">
        <is>
          <t>Round</t>
        </is>
      </c>
      <c r="B2" s="16" t="inlineStr">
        <is>
          <t>enc-BVX3</t>
        </is>
      </c>
      <c r="C2" s="16" t="inlineStr">
        <is>
          <t>enc-Other3</t>
        </is>
      </c>
      <c r="D2" s="16" t="inlineStr">
        <is>
          <t>enc-Lazy2</t>
        </is>
      </c>
      <c r="E2" s="16" t="inlineStr">
        <is>
          <t>enc-Optimal</t>
        </is>
      </c>
      <c r="F2" s="16" t="inlineStr">
        <is>
          <t>dec-BVX3</t>
        </is>
      </c>
      <c r="G2" s="16" t="inlineStr">
        <is>
          <t>dec-Other3</t>
        </is>
      </c>
      <c r="H2" s="16" t="inlineStr">
        <is>
          <t>dec-Lazy2</t>
        </is>
      </c>
      <c r="I2" s="16" t="inlineStr">
        <is>
          <t>dec-Optimal</t>
        </is>
      </c>
    </row>
    <row r="3" ht="15" customHeight="1" s="11">
      <c r="A3" s="22" t="inlineStr">
        <is>
          <t>R27</t>
        </is>
      </c>
      <c r="B3" s="23">
        <f>'Raw_claw-code'!J3</f>
        <v/>
      </c>
      <c r="C3" s="23">
        <f>'Raw_claw-code'!K3</f>
        <v/>
      </c>
      <c r="D3" s="23">
        <f>'Raw_claw-code'!L3</f>
        <v/>
      </c>
      <c r="E3" s="23">
        <f>'Raw_claw-code'!M3</f>
        <v/>
      </c>
      <c r="F3" s="23">
        <f>'Raw_claw-code'!N3</f>
        <v/>
      </c>
      <c r="G3" s="23">
        <f>'Raw_claw-code'!O3</f>
        <v/>
      </c>
      <c r="H3" s="23">
        <f>'Raw_claw-code'!P3</f>
        <v/>
      </c>
      <c r="I3" s="23">
        <f>'Raw_claw-code'!Q3</f>
        <v/>
      </c>
    </row>
    <row r="4" ht="15" customHeight="1" s="11">
      <c r="A4" s="22" t="inlineStr">
        <is>
          <t>R28</t>
        </is>
      </c>
      <c r="B4" s="23">
        <f>'Raw_claw-code'!J4</f>
        <v/>
      </c>
      <c r="C4" s="23">
        <f>'Raw_claw-code'!K4</f>
        <v/>
      </c>
      <c r="D4" s="23">
        <f>'Raw_claw-code'!L4</f>
        <v/>
      </c>
      <c r="E4" s="23">
        <f>'Raw_claw-code'!M4</f>
        <v/>
      </c>
      <c r="F4" s="23">
        <f>'Raw_claw-code'!N4</f>
        <v/>
      </c>
      <c r="G4" s="23">
        <f>'Raw_claw-code'!O4</f>
        <v/>
      </c>
      <c r="H4" s="23">
        <f>'Raw_claw-code'!P4</f>
        <v/>
      </c>
      <c r="I4" s="23">
        <f>'Raw_claw-code'!Q4</f>
        <v/>
      </c>
    </row>
    <row r="5" ht="15" customHeight="1" s="11">
      <c r="A5" s="22" t="inlineStr">
        <is>
          <t>R29</t>
        </is>
      </c>
      <c r="B5" s="23">
        <f>'Raw_claw-code'!J5</f>
        <v/>
      </c>
      <c r="C5" s="23">
        <f>'Raw_claw-code'!K5</f>
        <v/>
      </c>
      <c r="D5" s="23">
        <f>'Raw_claw-code'!L5</f>
        <v/>
      </c>
      <c r="E5" s="23">
        <f>'Raw_claw-code'!M5</f>
        <v/>
      </c>
      <c r="F5" s="23">
        <f>'Raw_claw-code'!N5</f>
        <v/>
      </c>
      <c r="G5" s="23">
        <f>'Raw_claw-code'!O5</f>
        <v/>
      </c>
      <c r="H5" s="23">
        <f>'Raw_claw-code'!P5</f>
        <v/>
      </c>
      <c r="I5" s="23">
        <f>'Raw_claw-code'!Q5</f>
        <v/>
      </c>
    </row>
    <row r="6" ht="15" customHeight="1" s="11">
      <c r="A6" s="22" t="inlineStr">
        <is>
          <t>R30</t>
        </is>
      </c>
      <c r="B6" s="23">
        <f>'Raw_claw-code'!J6</f>
        <v/>
      </c>
      <c r="C6" s="23">
        <f>'Raw_claw-code'!K6</f>
        <v/>
      </c>
      <c r="D6" s="23">
        <f>'Raw_claw-code'!L6</f>
        <v/>
      </c>
      <c r="E6" s="23">
        <f>'Raw_claw-code'!M6</f>
        <v/>
      </c>
      <c r="F6" s="23">
        <f>'Raw_claw-code'!N6</f>
        <v/>
      </c>
      <c r="G6" s="23">
        <f>'Raw_claw-code'!O6</f>
        <v/>
      </c>
      <c r="H6" s="23">
        <f>'Raw_claw-code'!P6</f>
        <v/>
      </c>
      <c r="I6" s="23">
        <f>'Raw_claw-code'!Q6</f>
        <v/>
      </c>
    </row>
    <row r="7" ht="15" customHeight="1" s="11">
      <c r="A7" s="22" t="inlineStr">
        <is>
          <t>R31</t>
        </is>
      </c>
      <c r="B7" s="23">
        <f>'Raw_claw-code'!J7</f>
        <v/>
      </c>
      <c r="C7" s="23">
        <f>'Raw_claw-code'!K7</f>
        <v/>
      </c>
      <c r="D7" s="23">
        <f>'Raw_claw-code'!L7</f>
        <v/>
      </c>
      <c r="E7" s="23">
        <f>'Raw_claw-code'!M7</f>
        <v/>
      </c>
      <c r="F7" s="23">
        <f>'Raw_claw-code'!N7</f>
        <v/>
      </c>
      <c r="G7" s="23">
        <f>'Raw_claw-code'!O7</f>
        <v/>
      </c>
      <c r="H7" s="23">
        <f>'Raw_claw-code'!P7</f>
        <v/>
      </c>
      <c r="I7" s="23">
        <f>'Raw_claw-code'!Q7</f>
        <v/>
      </c>
    </row>
    <row r="8" ht="15" customHeight="1" s="11">
      <c r="A8" s="22" t="inlineStr">
        <is>
          <t>R32</t>
        </is>
      </c>
      <c r="B8" s="23">
        <f>'Raw_claw-code'!J8</f>
        <v/>
      </c>
      <c r="C8" s="23">
        <f>'Raw_claw-code'!K8</f>
        <v/>
      </c>
      <c r="D8" s="23">
        <f>'Raw_claw-code'!L8</f>
        <v/>
      </c>
      <c r="E8" s="23">
        <f>'Raw_claw-code'!M8</f>
        <v/>
      </c>
      <c r="F8" s="23">
        <f>'Raw_claw-code'!N8</f>
        <v/>
      </c>
      <c r="G8" s="23">
        <f>'Raw_claw-code'!O8</f>
        <v/>
      </c>
      <c r="H8" s="23">
        <f>'Raw_claw-code'!P8</f>
        <v/>
      </c>
      <c r="I8" s="23">
        <f>'Raw_claw-code'!Q8</f>
        <v/>
      </c>
    </row>
    <row r="9" ht="15" customHeight="1" s="11">
      <c r="A9" s="22" t="inlineStr">
        <is>
          <t>R33</t>
        </is>
      </c>
      <c r="B9" s="23">
        <f>'Raw_claw-code'!J9</f>
        <v/>
      </c>
      <c r="C9" s="23">
        <f>'Raw_claw-code'!K9</f>
        <v/>
      </c>
      <c r="D9" s="23">
        <f>'Raw_claw-code'!L9</f>
        <v/>
      </c>
      <c r="E9" s="23">
        <f>'Raw_claw-code'!M9</f>
        <v/>
      </c>
      <c r="F9" s="23">
        <f>'Raw_claw-code'!N9</f>
        <v/>
      </c>
      <c r="G9" s="23">
        <f>'Raw_claw-code'!O9</f>
        <v/>
      </c>
      <c r="H9" s="23">
        <f>'Raw_claw-code'!P9</f>
        <v/>
      </c>
      <c r="I9" s="23">
        <f>'Raw_claw-code'!Q9</f>
        <v/>
      </c>
    </row>
    <row r="10" ht="15" customHeight="1" s="11">
      <c r="A10" s="22" t="inlineStr">
        <is>
          <t>R34</t>
        </is>
      </c>
      <c r="B10" s="23">
        <f>'Raw_claw-code'!J10</f>
        <v/>
      </c>
      <c r="C10" s="23">
        <f>'Raw_claw-code'!K10</f>
        <v/>
      </c>
      <c r="D10" s="23">
        <f>'Raw_claw-code'!L10</f>
        <v/>
      </c>
      <c r="E10" s="23">
        <f>'Raw_claw-code'!M10</f>
        <v/>
      </c>
      <c r="F10" s="23">
        <f>'Raw_claw-code'!N10</f>
        <v/>
      </c>
      <c r="G10" s="23">
        <f>'Raw_claw-code'!O10</f>
        <v/>
      </c>
      <c r="H10" s="23">
        <f>'Raw_claw-code'!P10</f>
        <v/>
      </c>
      <c r="I10" s="23">
        <f>'Raw_claw-code'!Q10</f>
        <v/>
      </c>
    </row>
    <row r="11" ht="15" customHeight="1" s="11">
      <c r="A11" s="22" t="inlineStr">
        <is>
          <t>R35</t>
        </is>
      </c>
      <c r="B11" s="23">
        <f>'Raw_claw-code'!J11</f>
        <v/>
      </c>
      <c r="C11" s="23">
        <f>'Raw_claw-code'!K11</f>
        <v/>
      </c>
      <c r="D11" s="23">
        <f>'Raw_claw-code'!L11</f>
        <v/>
      </c>
      <c r="E11" s="23">
        <f>'Raw_claw-code'!M11</f>
        <v/>
      </c>
      <c r="F11" s="23">
        <f>'Raw_claw-code'!N11</f>
        <v/>
      </c>
      <c r="G11" s="23">
        <f>'Raw_claw-code'!O11</f>
        <v/>
      </c>
      <c r="H11" s="23">
        <f>'Raw_claw-code'!P11</f>
        <v/>
      </c>
      <c r="I11" s="23">
        <f>'Raw_claw-code'!Q11</f>
        <v/>
      </c>
    </row>
    <row r="12" ht="15" customHeight="1" s="11">
      <c r="A12" s="22" t="inlineStr">
        <is>
          <t>R36</t>
        </is>
      </c>
      <c r="B12" s="23">
        <f>'Raw_claw-code'!J12</f>
        <v/>
      </c>
      <c r="C12" s="23">
        <f>'Raw_claw-code'!K12</f>
        <v/>
      </c>
      <c r="D12" s="23">
        <f>'Raw_claw-code'!L12</f>
        <v/>
      </c>
      <c r="E12" s="23">
        <f>'Raw_claw-code'!M12</f>
        <v/>
      </c>
      <c r="F12" s="23">
        <f>'Raw_claw-code'!N12</f>
        <v/>
      </c>
      <c r="G12" s="23">
        <f>'Raw_claw-code'!O12</f>
        <v/>
      </c>
      <c r="H12" s="23">
        <f>'Raw_claw-code'!P12</f>
        <v/>
      </c>
      <c r="I12" s="23">
        <f>'Raw_claw-code'!Q12</f>
        <v/>
      </c>
    </row>
    <row r="13" ht="15" customHeight="1" s="11">
      <c r="A13" s="22" t="inlineStr">
        <is>
          <t>R37</t>
        </is>
      </c>
      <c r="B13" s="23">
        <f>'Raw_claw-code'!J13</f>
        <v/>
      </c>
      <c r="C13" s="23">
        <f>'Raw_claw-code'!K13</f>
        <v/>
      </c>
      <c r="D13" s="23">
        <f>'Raw_claw-code'!L13</f>
        <v/>
      </c>
      <c r="E13" s="23">
        <f>'Raw_claw-code'!M13</f>
        <v/>
      </c>
      <c r="F13" s="23">
        <f>'Raw_claw-code'!N13</f>
        <v/>
      </c>
      <c r="G13" s="23">
        <f>'Raw_claw-code'!O13</f>
        <v/>
      </c>
      <c r="H13" s="23">
        <f>'Raw_claw-code'!P13</f>
        <v/>
      </c>
      <c r="I13" s="23">
        <f>'Raw_claw-code'!Q13</f>
        <v/>
      </c>
    </row>
    <row r="14" ht="15" customHeight="1" s="11">
      <c r="A14" s="22" t="inlineStr">
        <is>
          <t>R38</t>
        </is>
      </c>
      <c r="B14" s="23">
        <f>'Raw_claw-code'!J14</f>
        <v/>
      </c>
      <c r="C14" s="23">
        <f>'Raw_claw-code'!K14</f>
        <v/>
      </c>
      <c r="D14" s="23">
        <f>'Raw_claw-code'!L14</f>
        <v/>
      </c>
      <c r="E14" s="23">
        <f>'Raw_claw-code'!M14</f>
        <v/>
      </c>
      <c r="F14" s="23">
        <f>'Raw_claw-code'!N14</f>
        <v/>
      </c>
      <c r="G14" s="23">
        <f>'Raw_claw-code'!O14</f>
        <v/>
      </c>
      <c r="H14" s="23">
        <f>'Raw_claw-code'!P14</f>
        <v/>
      </c>
      <c r="I14" s="23">
        <f>'Raw_claw-code'!Q14</f>
        <v/>
      </c>
    </row>
    <row r="15" ht="15" customHeight="1" s="11">
      <c r="A15" s="22" t="inlineStr">
        <is>
          <t>R39</t>
        </is>
      </c>
      <c r="B15" s="23">
        <f>'Raw_claw-code'!J15</f>
        <v/>
      </c>
      <c r="C15" s="23">
        <f>'Raw_claw-code'!K15</f>
        <v/>
      </c>
      <c r="D15" s="23">
        <f>'Raw_claw-code'!L15</f>
        <v/>
      </c>
      <c r="E15" s="23">
        <f>'Raw_claw-code'!M15</f>
        <v/>
      </c>
      <c r="F15" s="23">
        <f>'Raw_claw-code'!N15</f>
        <v/>
      </c>
      <c r="G15" s="23">
        <f>'Raw_claw-code'!O15</f>
        <v/>
      </c>
      <c r="H15" s="23">
        <f>'Raw_claw-code'!P15</f>
        <v/>
      </c>
      <c r="I15" s="23">
        <f>'Raw_claw-code'!Q15</f>
        <v/>
      </c>
    </row>
    <row r="16">
      <c r="A16" t="inlineStr">
        <is>
          <t>R40</t>
        </is>
      </c>
      <c r="B16">
        <f>'Raw_claw-code'!J16</f>
        <v/>
      </c>
      <c r="C16">
        <f>'Raw_claw-code'!K16</f>
        <v/>
      </c>
      <c r="D16">
        <f>'Raw_claw-code'!L16</f>
        <v/>
      </c>
      <c r="E16">
        <f>'Raw_claw-code'!M16</f>
        <v/>
      </c>
      <c r="F16">
        <f>'Raw_claw-code'!N16</f>
        <v/>
      </c>
      <c r="G16">
        <f>'Raw_claw-code'!O16</f>
        <v/>
      </c>
      <c r="H16">
        <f>'Raw_claw-code'!P16</f>
        <v/>
      </c>
      <c r="I16">
        <f>'Raw_claw-code'!Q16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9"/>
  </cols>
  <sheetData>
    <row r="1" ht="24" customHeight="1" s="11">
      <c r="A1" s="21" t="inlineStr">
        <is>
          <t>claw-code — Energy Trend (n=40, R27–R40)</t>
        </is>
      </c>
    </row>
    <row r="2" ht="23.85" customHeight="1" s="11">
      <c r="A2" s="12" t="inlineStr">
        <is>
          <t>Round</t>
        </is>
      </c>
      <c r="B2" s="16" t="inlineStr">
        <is>
          <t>enc-BVX3</t>
        </is>
      </c>
      <c r="C2" s="16" t="inlineStr">
        <is>
          <t>enc-Other3</t>
        </is>
      </c>
      <c r="D2" s="16" t="inlineStr">
        <is>
          <t>enc-Lazy2</t>
        </is>
      </c>
      <c r="E2" s="16" t="inlineStr">
        <is>
          <t>enc-Optimal</t>
        </is>
      </c>
      <c r="F2" s="16" t="inlineStr">
        <is>
          <t>dec-BVX3</t>
        </is>
      </c>
      <c r="G2" s="16" t="inlineStr">
        <is>
          <t>dec-Other3</t>
        </is>
      </c>
      <c r="H2" s="16" t="inlineStr">
        <is>
          <t>dec-Lazy2</t>
        </is>
      </c>
      <c r="I2" s="16" t="inlineStr">
        <is>
          <t>dec-Optimal</t>
        </is>
      </c>
    </row>
    <row r="3" ht="15" customHeight="1" s="11">
      <c r="A3" s="22" t="inlineStr">
        <is>
          <t>R27</t>
        </is>
      </c>
      <c r="B3" s="23">
        <f>'Raw_claw-code'!R3</f>
        <v/>
      </c>
      <c r="C3" s="23">
        <f>'Raw_claw-code'!S3</f>
        <v/>
      </c>
      <c r="D3" s="23">
        <f>'Raw_claw-code'!T3</f>
        <v/>
      </c>
      <c r="E3" s="23">
        <f>'Raw_claw-code'!U3</f>
        <v/>
      </c>
      <c r="F3" s="23">
        <f>'Raw_claw-code'!V3</f>
        <v/>
      </c>
      <c r="G3" s="23">
        <f>'Raw_claw-code'!W3</f>
        <v/>
      </c>
      <c r="H3" s="23">
        <f>'Raw_claw-code'!X3</f>
        <v/>
      </c>
      <c r="I3" s="23">
        <f>'Raw_claw-code'!Y3</f>
        <v/>
      </c>
    </row>
    <row r="4" ht="15" customHeight="1" s="11">
      <c r="A4" s="22" t="inlineStr">
        <is>
          <t>R28</t>
        </is>
      </c>
      <c r="B4" s="23">
        <f>'Raw_claw-code'!R4</f>
        <v/>
      </c>
      <c r="C4" s="23">
        <f>'Raw_claw-code'!S4</f>
        <v/>
      </c>
      <c r="D4" s="23">
        <f>'Raw_claw-code'!T4</f>
        <v/>
      </c>
      <c r="E4" s="23">
        <f>'Raw_claw-code'!U4</f>
        <v/>
      </c>
      <c r="F4" s="23">
        <f>'Raw_claw-code'!V4</f>
        <v/>
      </c>
      <c r="G4" s="23">
        <f>'Raw_claw-code'!W4</f>
        <v/>
      </c>
      <c r="H4" s="23">
        <f>'Raw_claw-code'!X4</f>
        <v/>
      </c>
      <c r="I4" s="23">
        <f>'Raw_claw-code'!Y4</f>
        <v/>
      </c>
    </row>
    <row r="5" ht="15" customHeight="1" s="11">
      <c r="A5" s="22" t="inlineStr">
        <is>
          <t>R29</t>
        </is>
      </c>
      <c r="B5" s="23">
        <f>'Raw_claw-code'!R5</f>
        <v/>
      </c>
      <c r="C5" s="23">
        <f>'Raw_claw-code'!S5</f>
        <v/>
      </c>
      <c r="D5" s="23">
        <f>'Raw_claw-code'!T5</f>
        <v/>
      </c>
      <c r="E5" s="23">
        <f>'Raw_claw-code'!U5</f>
        <v/>
      </c>
      <c r="F5" s="23">
        <f>'Raw_claw-code'!V5</f>
        <v/>
      </c>
      <c r="G5" s="23">
        <f>'Raw_claw-code'!W5</f>
        <v/>
      </c>
      <c r="H5" s="23">
        <f>'Raw_claw-code'!X5</f>
        <v/>
      </c>
      <c r="I5" s="23">
        <f>'Raw_claw-code'!Y5</f>
        <v/>
      </c>
    </row>
    <row r="6" ht="15" customHeight="1" s="11">
      <c r="A6" s="22" t="inlineStr">
        <is>
          <t>R30</t>
        </is>
      </c>
      <c r="B6" s="23">
        <f>'Raw_claw-code'!R6</f>
        <v/>
      </c>
      <c r="C6" s="23">
        <f>'Raw_claw-code'!S6</f>
        <v/>
      </c>
      <c r="D6" s="23">
        <f>'Raw_claw-code'!T6</f>
        <v/>
      </c>
      <c r="E6" s="23">
        <f>'Raw_claw-code'!U6</f>
        <v/>
      </c>
      <c r="F6" s="23">
        <f>'Raw_claw-code'!V6</f>
        <v/>
      </c>
      <c r="G6" s="23">
        <f>'Raw_claw-code'!W6</f>
        <v/>
      </c>
      <c r="H6" s="23">
        <f>'Raw_claw-code'!X6</f>
        <v/>
      </c>
      <c r="I6" s="23">
        <f>'Raw_claw-code'!Y6</f>
        <v/>
      </c>
    </row>
    <row r="7" ht="15" customHeight="1" s="11">
      <c r="A7" s="22" t="inlineStr">
        <is>
          <t>R31</t>
        </is>
      </c>
      <c r="B7" s="23">
        <f>'Raw_claw-code'!R7</f>
        <v/>
      </c>
      <c r="C7" s="23">
        <f>'Raw_claw-code'!S7</f>
        <v/>
      </c>
      <c r="D7" s="23">
        <f>'Raw_claw-code'!T7</f>
        <v/>
      </c>
      <c r="E7" s="23">
        <f>'Raw_claw-code'!U7</f>
        <v/>
      </c>
      <c r="F7" s="23">
        <f>'Raw_claw-code'!V7</f>
        <v/>
      </c>
      <c r="G7" s="23">
        <f>'Raw_claw-code'!W7</f>
        <v/>
      </c>
      <c r="H7" s="23">
        <f>'Raw_claw-code'!X7</f>
        <v/>
      </c>
      <c r="I7" s="23">
        <f>'Raw_claw-code'!Y7</f>
        <v/>
      </c>
    </row>
    <row r="8" ht="15" customHeight="1" s="11">
      <c r="A8" s="22" t="inlineStr">
        <is>
          <t>R32</t>
        </is>
      </c>
      <c r="B8" s="23">
        <f>'Raw_claw-code'!R8</f>
        <v/>
      </c>
      <c r="C8" s="23">
        <f>'Raw_claw-code'!S8</f>
        <v/>
      </c>
      <c r="D8" s="23">
        <f>'Raw_claw-code'!T8</f>
        <v/>
      </c>
      <c r="E8" s="23">
        <f>'Raw_claw-code'!U8</f>
        <v/>
      </c>
      <c r="F8" s="23">
        <f>'Raw_claw-code'!V8</f>
        <v/>
      </c>
      <c r="G8" s="23">
        <f>'Raw_claw-code'!W8</f>
        <v/>
      </c>
      <c r="H8" s="23">
        <f>'Raw_claw-code'!X8</f>
        <v/>
      </c>
      <c r="I8" s="23">
        <f>'Raw_claw-code'!Y8</f>
        <v/>
      </c>
    </row>
    <row r="9" ht="15" customHeight="1" s="11">
      <c r="A9" s="22" t="inlineStr">
        <is>
          <t>R33</t>
        </is>
      </c>
      <c r="B9" s="23">
        <f>'Raw_claw-code'!R9</f>
        <v/>
      </c>
      <c r="C9" s="23">
        <f>'Raw_claw-code'!S9</f>
        <v/>
      </c>
      <c r="D9" s="23">
        <f>'Raw_claw-code'!T9</f>
        <v/>
      </c>
      <c r="E9" s="23">
        <f>'Raw_claw-code'!U9</f>
        <v/>
      </c>
      <c r="F9" s="23">
        <f>'Raw_claw-code'!V9</f>
        <v/>
      </c>
      <c r="G9" s="23">
        <f>'Raw_claw-code'!W9</f>
        <v/>
      </c>
      <c r="H9" s="23">
        <f>'Raw_claw-code'!X9</f>
        <v/>
      </c>
      <c r="I9" s="23">
        <f>'Raw_claw-code'!Y9</f>
        <v/>
      </c>
    </row>
    <row r="10" ht="15" customHeight="1" s="11">
      <c r="A10" s="22" t="inlineStr">
        <is>
          <t>R34</t>
        </is>
      </c>
      <c r="B10" s="23">
        <f>'Raw_claw-code'!R10</f>
        <v/>
      </c>
      <c r="C10" s="23">
        <f>'Raw_claw-code'!S10</f>
        <v/>
      </c>
      <c r="D10" s="23">
        <f>'Raw_claw-code'!T10</f>
        <v/>
      </c>
      <c r="E10" s="23">
        <f>'Raw_claw-code'!U10</f>
        <v/>
      </c>
      <c r="F10" s="23">
        <f>'Raw_claw-code'!V10</f>
        <v/>
      </c>
      <c r="G10" s="23">
        <f>'Raw_claw-code'!W10</f>
        <v/>
      </c>
      <c r="H10" s="23">
        <f>'Raw_claw-code'!X10</f>
        <v/>
      </c>
      <c r="I10" s="23">
        <f>'Raw_claw-code'!Y10</f>
        <v/>
      </c>
    </row>
    <row r="11" ht="15" customHeight="1" s="11">
      <c r="A11" s="22" t="inlineStr">
        <is>
          <t>R35</t>
        </is>
      </c>
      <c r="B11" s="23">
        <f>'Raw_claw-code'!R11</f>
        <v/>
      </c>
      <c r="C11" s="23">
        <f>'Raw_claw-code'!S11</f>
        <v/>
      </c>
      <c r="D11" s="23">
        <f>'Raw_claw-code'!T11</f>
        <v/>
      </c>
      <c r="E11" s="23">
        <f>'Raw_claw-code'!U11</f>
        <v/>
      </c>
      <c r="F11" s="23">
        <f>'Raw_claw-code'!V11</f>
        <v/>
      </c>
      <c r="G11" s="23">
        <f>'Raw_claw-code'!W11</f>
        <v/>
      </c>
      <c r="H11" s="23">
        <f>'Raw_claw-code'!X11</f>
        <v/>
      </c>
      <c r="I11" s="23">
        <f>'Raw_claw-code'!Y11</f>
        <v/>
      </c>
    </row>
    <row r="12" ht="15" customHeight="1" s="11">
      <c r="A12" s="22" t="inlineStr">
        <is>
          <t>R36</t>
        </is>
      </c>
      <c r="B12" s="23">
        <f>'Raw_claw-code'!R12</f>
        <v/>
      </c>
      <c r="C12" s="23">
        <f>'Raw_claw-code'!S12</f>
        <v/>
      </c>
      <c r="D12" s="23">
        <f>'Raw_claw-code'!T12</f>
        <v/>
      </c>
      <c r="E12" s="23">
        <f>'Raw_claw-code'!U12</f>
        <v/>
      </c>
      <c r="F12" s="23">
        <f>'Raw_claw-code'!V12</f>
        <v/>
      </c>
      <c r="G12" s="23">
        <f>'Raw_claw-code'!W12</f>
        <v/>
      </c>
      <c r="H12" s="23">
        <f>'Raw_claw-code'!X12</f>
        <v/>
      </c>
      <c r="I12" s="23">
        <f>'Raw_claw-code'!Y12</f>
        <v/>
      </c>
    </row>
    <row r="13" ht="15" customHeight="1" s="11">
      <c r="A13" s="22" t="inlineStr">
        <is>
          <t>R37</t>
        </is>
      </c>
      <c r="B13" s="23">
        <f>'Raw_claw-code'!R13</f>
        <v/>
      </c>
      <c r="C13" s="23">
        <f>'Raw_claw-code'!S13</f>
        <v/>
      </c>
      <c r="D13" s="23">
        <f>'Raw_claw-code'!T13</f>
        <v/>
      </c>
      <c r="E13" s="23">
        <f>'Raw_claw-code'!U13</f>
        <v/>
      </c>
      <c r="F13" s="23">
        <f>'Raw_claw-code'!V13</f>
        <v/>
      </c>
      <c r="G13" s="23">
        <f>'Raw_claw-code'!W13</f>
        <v/>
      </c>
      <c r="H13" s="23">
        <f>'Raw_claw-code'!X13</f>
        <v/>
      </c>
      <c r="I13" s="23">
        <f>'Raw_claw-code'!Y13</f>
        <v/>
      </c>
    </row>
    <row r="14" ht="15" customHeight="1" s="11">
      <c r="A14" s="22" t="inlineStr">
        <is>
          <t>R38</t>
        </is>
      </c>
      <c r="B14" s="23">
        <f>'Raw_claw-code'!R14</f>
        <v/>
      </c>
      <c r="C14" s="23">
        <f>'Raw_claw-code'!S14</f>
        <v/>
      </c>
      <c r="D14" s="23">
        <f>'Raw_claw-code'!T14</f>
        <v/>
      </c>
      <c r="E14" s="23">
        <f>'Raw_claw-code'!U14</f>
        <v/>
      </c>
      <c r="F14" s="23">
        <f>'Raw_claw-code'!V14</f>
        <v/>
      </c>
      <c r="G14" s="23">
        <f>'Raw_claw-code'!W14</f>
        <v/>
      </c>
      <c r="H14" s="23">
        <f>'Raw_claw-code'!X14</f>
        <v/>
      </c>
      <c r="I14" s="23">
        <f>'Raw_claw-code'!Y14</f>
        <v/>
      </c>
    </row>
    <row r="15" ht="15" customHeight="1" s="11">
      <c r="A15" s="22" t="inlineStr">
        <is>
          <t>R39</t>
        </is>
      </c>
      <c r="B15" s="23">
        <f>'Raw_claw-code'!R15</f>
        <v/>
      </c>
      <c r="C15" s="23">
        <f>'Raw_claw-code'!S15</f>
        <v/>
      </c>
      <c r="D15" s="23">
        <f>'Raw_claw-code'!T15</f>
        <v/>
      </c>
      <c r="E15" s="23">
        <f>'Raw_claw-code'!U15</f>
        <v/>
      </c>
      <c r="F15" s="23">
        <f>'Raw_claw-code'!V15</f>
        <v/>
      </c>
      <c r="G15" s="23">
        <f>'Raw_claw-code'!W15</f>
        <v/>
      </c>
      <c r="H15" s="23">
        <f>'Raw_claw-code'!X15</f>
        <v/>
      </c>
      <c r="I15" s="23">
        <f>'Raw_claw-code'!Y15</f>
        <v/>
      </c>
    </row>
    <row r="16">
      <c r="A16" t="inlineStr">
        <is>
          <t>R40</t>
        </is>
      </c>
      <c r="B16">
        <f>'Raw_claw-code'!R16</f>
        <v/>
      </c>
      <c r="C16">
        <f>'Raw_claw-code'!S16</f>
        <v/>
      </c>
      <c r="D16">
        <f>'Raw_claw-code'!T16</f>
        <v/>
      </c>
      <c r="E16">
        <f>'Raw_claw-code'!U16</f>
        <v/>
      </c>
      <c r="F16">
        <f>'Raw_claw-code'!V16</f>
        <v/>
      </c>
      <c r="G16">
        <f>'Raw_claw-code'!W16</f>
        <v/>
      </c>
      <c r="H16">
        <f>'Raw_claw-code'!X16</f>
        <v/>
      </c>
      <c r="I16">
        <f>'Raw_claw-code'!Y16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5"/>
  </cols>
  <sheetData>
    <row r="1" ht="24" customHeight="1" s="11">
      <c r="A1" s="21" t="inlineStr">
        <is>
          <t>claw-code — CompRatio Trend (n=40, R27–R40)</t>
        </is>
      </c>
    </row>
    <row r="2" ht="15" customHeight="1" s="11">
      <c r="A2" s="12" t="inlineStr">
        <is>
          <t>Round</t>
        </is>
      </c>
      <c r="B2" s="16" t="inlineStr">
        <is>
          <t>BVX3</t>
        </is>
      </c>
      <c r="C2" s="16" t="inlineStr">
        <is>
          <t>Other3</t>
        </is>
      </c>
      <c r="D2" s="16" t="inlineStr">
        <is>
          <t>Lazy2</t>
        </is>
      </c>
      <c r="E2" s="16" t="inlineStr">
        <is>
          <t>Optimal</t>
        </is>
      </c>
    </row>
    <row r="3" ht="15" customHeight="1" s="11">
      <c r="A3" s="22" t="inlineStr">
        <is>
          <t>R27</t>
        </is>
      </c>
      <c r="B3" s="23">
        <f>'Raw_claw-code'!Z3</f>
        <v/>
      </c>
      <c r="C3" s="23">
        <f>'Raw_claw-code'!AA3</f>
        <v/>
      </c>
      <c r="D3" s="23">
        <f>'Raw_claw-code'!AB3</f>
        <v/>
      </c>
      <c r="E3" s="23">
        <f>'Raw_claw-code'!AC3</f>
        <v/>
      </c>
    </row>
    <row r="4" ht="15" customHeight="1" s="11">
      <c r="A4" s="22" t="inlineStr">
        <is>
          <t>R28</t>
        </is>
      </c>
      <c r="B4" s="23">
        <f>'Raw_claw-code'!Z4</f>
        <v/>
      </c>
      <c r="C4" s="23">
        <f>'Raw_claw-code'!AA4</f>
        <v/>
      </c>
      <c r="D4" s="23">
        <f>'Raw_claw-code'!AB4</f>
        <v/>
      </c>
      <c r="E4" s="23">
        <f>'Raw_claw-code'!AC4</f>
        <v/>
      </c>
    </row>
    <row r="5" ht="15" customHeight="1" s="11">
      <c r="A5" s="22" t="inlineStr">
        <is>
          <t>R29</t>
        </is>
      </c>
      <c r="B5" s="23">
        <f>'Raw_claw-code'!Z5</f>
        <v/>
      </c>
      <c r="C5" s="23">
        <f>'Raw_claw-code'!AA5</f>
        <v/>
      </c>
      <c r="D5" s="23">
        <f>'Raw_claw-code'!AB5</f>
        <v/>
      </c>
      <c r="E5" s="23">
        <f>'Raw_claw-code'!AC5</f>
        <v/>
      </c>
    </row>
    <row r="6" ht="15" customHeight="1" s="11">
      <c r="A6" s="22" t="inlineStr">
        <is>
          <t>R30</t>
        </is>
      </c>
      <c r="B6" s="23">
        <f>'Raw_claw-code'!Z6</f>
        <v/>
      </c>
      <c r="C6" s="23">
        <f>'Raw_claw-code'!AA6</f>
        <v/>
      </c>
      <c r="D6" s="23">
        <f>'Raw_claw-code'!AB6</f>
        <v/>
      </c>
      <c r="E6" s="23">
        <f>'Raw_claw-code'!AC6</f>
        <v/>
      </c>
    </row>
    <row r="7" ht="15" customHeight="1" s="11">
      <c r="A7" s="22" t="inlineStr">
        <is>
          <t>R31</t>
        </is>
      </c>
      <c r="B7" s="23">
        <f>'Raw_claw-code'!Z7</f>
        <v/>
      </c>
      <c r="C7" s="23">
        <f>'Raw_claw-code'!AA7</f>
        <v/>
      </c>
      <c r="D7" s="23">
        <f>'Raw_claw-code'!AB7</f>
        <v/>
      </c>
      <c r="E7" s="23">
        <f>'Raw_claw-code'!AC7</f>
        <v/>
      </c>
    </row>
    <row r="8" ht="15" customHeight="1" s="11">
      <c r="A8" s="22" t="inlineStr">
        <is>
          <t>R32</t>
        </is>
      </c>
      <c r="B8" s="23">
        <f>'Raw_claw-code'!Z8</f>
        <v/>
      </c>
      <c r="C8" s="23">
        <f>'Raw_claw-code'!AA8</f>
        <v/>
      </c>
      <c r="D8" s="23">
        <f>'Raw_claw-code'!AB8</f>
        <v/>
      </c>
      <c r="E8" s="23">
        <f>'Raw_claw-code'!AC8</f>
        <v/>
      </c>
    </row>
    <row r="9" ht="15" customHeight="1" s="11">
      <c r="A9" s="22" t="inlineStr">
        <is>
          <t>R33</t>
        </is>
      </c>
      <c r="B9" s="23">
        <f>'Raw_claw-code'!Z9</f>
        <v/>
      </c>
      <c r="C9" s="23">
        <f>'Raw_claw-code'!AA9</f>
        <v/>
      </c>
      <c r="D9" s="23">
        <f>'Raw_claw-code'!AB9</f>
        <v/>
      </c>
      <c r="E9" s="23">
        <f>'Raw_claw-code'!AC9</f>
        <v/>
      </c>
    </row>
    <row r="10" ht="15" customHeight="1" s="11">
      <c r="A10" s="22" t="inlineStr">
        <is>
          <t>R34</t>
        </is>
      </c>
      <c r="B10" s="23">
        <f>'Raw_claw-code'!Z10</f>
        <v/>
      </c>
      <c r="C10" s="23">
        <f>'Raw_claw-code'!AA10</f>
        <v/>
      </c>
      <c r="D10" s="23">
        <f>'Raw_claw-code'!AB10</f>
        <v/>
      </c>
      <c r="E10" s="23">
        <f>'Raw_claw-code'!AC10</f>
        <v/>
      </c>
    </row>
    <row r="11" ht="15" customHeight="1" s="11">
      <c r="A11" s="22" t="inlineStr">
        <is>
          <t>R35</t>
        </is>
      </c>
      <c r="B11" s="23">
        <f>'Raw_claw-code'!Z11</f>
        <v/>
      </c>
      <c r="C11" s="23">
        <f>'Raw_claw-code'!AA11</f>
        <v/>
      </c>
      <c r="D11" s="23">
        <f>'Raw_claw-code'!AB11</f>
        <v/>
      </c>
      <c r="E11" s="23">
        <f>'Raw_claw-code'!AC11</f>
        <v/>
      </c>
    </row>
    <row r="12" ht="15" customHeight="1" s="11">
      <c r="A12" s="22" t="inlineStr">
        <is>
          <t>R36</t>
        </is>
      </c>
      <c r="B12" s="23">
        <f>'Raw_claw-code'!Z12</f>
        <v/>
      </c>
      <c r="C12" s="23">
        <f>'Raw_claw-code'!AA12</f>
        <v/>
      </c>
      <c r="D12" s="23">
        <f>'Raw_claw-code'!AB12</f>
        <v/>
      </c>
      <c r="E12" s="23">
        <f>'Raw_claw-code'!AC12</f>
        <v/>
      </c>
    </row>
    <row r="13" ht="15" customHeight="1" s="11">
      <c r="A13" s="22" t="inlineStr">
        <is>
          <t>R37</t>
        </is>
      </c>
      <c r="B13" s="23">
        <f>'Raw_claw-code'!Z13</f>
        <v/>
      </c>
      <c r="C13" s="23">
        <f>'Raw_claw-code'!AA13</f>
        <v/>
      </c>
      <c r="D13" s="23">
        <f>'Raw_claw-code'!AB13</f>
        <v/>
      </c>
      <c r="E13" s="23">
        <f>'Raw_claw-code'!AC13</f>
        <v/>
      </c>
    </row>
    <row r="14" ht="15" customHeight="1" s="11">
      <c r="A14" s="22" t="inlineStr">
        <is>
          <t>R38</t>
        </is>
      </c>
      <c r="B14" s="23">
        <f>'Raw_claw-code'!Z14</f>
        <v/>
      </c>
      <c r="C14" s="23">
        <f>'Raw_claw-code'!AA14</f>
        <v/>
      </c>
      <c r="D14" s="23">
        <f>'Raw_claw-code'!AB14</f>
        <v/>
      </c>
      <c r="E14" s="23">
        <f>'Raw_claw-code'!AC14</f>
        <v/>
      </c>
    </row>
    <row r="15" ht="15" customHeight="1" s="11">
      <c r="A15" s="22" t="inlineStr">
        <is>
          <t>R39</t>
        </is>
      </c>
      <c r="B15" s="23">
        <f>'Raw_claw-code'!Z15</f>
        <v/>
      </c>
      <c r="C15" s="23">
        <f>'Raw_claw-code'!AA15</f>
        <v/>
      </c>
      <c r="D15" s="23">
        <f>'Raw_claw-code'!AB15</f>
        <v/>
      </c>
      <c r="E15" s="23">
        <f>'Raw_claw-code'!AC15</f>
        <v/>
      </c>
    </row>
    <row r="16">
      <c r="A16" t="inlineStr">
        <is>
          <t>R40</t>
        </is>
      </c>
      <c r="B16">
        <f>'Raw_claw-code'!Z16</f>
        <v/>
      </c>
      <c r="C16">
        <f>'Raw_claw-code'!AA16</f>
        <v/>
      </c>
      <c r="D16">
        <f>'Raw_claw-code'!AB16</f>
        <v/>
      </c>
      <c r="E16">
        <f>'Raw_claw-code'!AC16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9"/>
  </cols>
  <sheetData>
    <row r="1" ht="24" customHeight="1" s="11">
      <c r="A1" s="21" t="inlineStr">
        <is>
          <t>llama.cpp — Speed Trend (n=40, R27–R40)</t>
        </is>
      </c>
    </row>
    <row r="2" ht="23.85" customHeight="1" s="11">
      <c r="A2" s="12" t="inlineStr">
        <is>
          <t>Round</t>
        </is>
      </c>
      <c r="B2" s="16" t="inlineStr">
        <is>
          <t>enc-BVX3</t>
        </is>
      </c>
      <c r="C2" s="16" t="inlineStr">
        <is>
          <t>enc-Other3</t>
        </is>
      </c>
      <c r="D2" s="16" t="inlineStr">
        <is>
          <t>enc-Lazy2</t>
        </is>
      </c>
      <c r="E2" s="16" t="inlineStr">
        <is>
          <t>enc-Optimal</t>
        </is>
      </c>
      <c r="F2" s="16" t="inlineStr">
        <is>
          <t>dec-BVX3</t>
        </is>
      </c>
      <c r="G2" s="16" t="inlineStr">
        <is>
          <t>dec-Other3</t>
        </is>
      </c>
      <c r="H2" s="16" t="inlineStr">
        <is>
          <t>dec-Lazy2</t>
        </is>
      </c>
      <c r="I2" s="16" t="inlineStr">
        <is>
          <t>dec-Optimal</t>
        </is>
      </c>
    </row>
    <row r="3" ht="15" customHeight="1" s="11">
      <c r="A3" s="22" t="inlineStr">
        <is>
          <t>R27</t>
        </is>
      </c>
      <c r="B3" s="23">
        <f>Raw_llama_cpp!B3</f>
        <v/>
      </c>
      <c r="C3" s="23">
        <f>Raw_llama_cpp!C3</f>
        <v/>
      </c>
      <c r="D3" s="23">
        <f>Raw_llama_cpp!D3</f>
        <v/>
      </c>
      <c r="E3" s="23">
        <f>Raw_llama_cpp!E3</f>
        <v/>
      </c>
      <c r="F3" s="23">
        <f>Raw_llama_cpp!F3</f>
        <v/>
      </c>
      <c r="G3" s="23">
        <f>Raw_llama_cpp!G3</f>
        <v/>
      </c>
      <c r="H3" s="23">
        <f>Raw_llama_cpp!H3</f>
        <v/>
      </c>
      <c r="I3" s="23">
        <f>Raw_llama_cpp!I3</f>
        <v/>
      </c>
    </row>
    <row r="4" ht="15" customHeight="1" s="11">
      <c r="A4" s="22" t="inlineStr">
        <is>
          <t>R28</t>
        </is>
      </c>
      <c r="B4" s="23">
        <f>Raw_llama_cpp!B4</f>
        <v/>
      </c>
      <c r="C4" s="23">
        <f>Raw_llama_cpp!C4</f>
        <v/>
      </c>
      <c r="D4" s="23">
        <f>Raw_llama_cpp!D4</f>
        <v/>
      </c>
      <c r="E4" s="23">
        <f>Raw_llama_cpp!E4</f>
        <v/>
      </c>
      <c r="F4" s="23">
        <f>Raw_llama_cpp!F4</f>
        <v/>
      </c>
      <c r="G4" s="23">
        <f>Raw_llama_cpp!G4</f>
        <v/>
      </c>
      <c r="H4" s="23">
        <f>Raw_llama_cpp!H4</f>
        <v/>
      </c>
      <c r="I4" s="23">
        <f>Raw_llama_cpp!I4</f>
        <v/>
      </c>
    </row>
    <row r="5" ht="15" customHeight="1" s="11">
      <c r="A5" s="22" t="inlineStr">
        <is>
          <t>R29</t>
        </is>
      </c>
      <c r="B5" s="23">
        <f>Raw_llama_cpp!B5</f>
        <v/>
      </c>
      <c r="C5" s="23">
        <f>Raw_llama_cpp!C5</f>
        <v/>
      </c>
      <c r="D5" s="23">
        <f>Raw_llama_cpp!D5</f>
        <v/>
      </c>
      <c r="E5" s="23">
        <f>Raw_llama_cpp!E5</f>
        <v/>
      </c>
      <c r="F5" s="23">
        <f>Raw_llama_cpp!F5</f>
        <v/>
      </c>
      <c r="G5" s="23">
        <f>Raw_llama_cpp!G5</f>
        <v/>
      </c>
      <c r="H5" s="23">
        <f>Raw_llama_cpp!H5</f>
        <v/>
      </c>
      <c r="I5" s="23">
        <f>Raw_llama_cpp!I5</f>
        <v/>
      </c>
    </row>
    <row r="6" ht="15" customHeight="1" s="11">
      <c r="A6" s="22" t="inlineStr">
        <is>
          <t>R30</t>
        </is>
      </c>
      <c r="B6" s="23">
        <f>Raw_llama_cpp!B6</f>
        <v/>
      </c>
      <c r="C6" s="23">
        <f>Raw_llama_cpp!C6</f>
        <v/>
      </c>
      <c r="D6" s="23">
        <f>Raw_llama_cpp!D6</f>
        <v/>
      </c>
      <c r="E6" s="23">
        <f>Raw_llama_cpp!E6</f>
        <v/>
      </c>
      <c r="F6" s="23">
        <f>Raw_llama_cpp!F6</f>
        <v/>
      </c>
      <c r="G6" s="23">
        <f>Raw_llama_cpp!G6</f>
        <v/>
      </c>
      <c r="H6" s="23">
        <f>Raw_llama_cpp!H6</f>
        <v/>
      </c>
      <c r="I6" s="23">
        <f>Raw_llama_cpp!I6</f>
        <v/>
      </c>
    </row>
    <row r="7" ht="15" customHeight="1" s="11">
      <c r="A7" s="22" t="inlineStr">
        <is>
          <t>R31</t>
        </is>
      </c>
      <c r="B7" s="23">
        <f>Raw_llama_cpp!B7</f>
        <v/>
      </c>
      <c r="C7" s="23">
        <f>Raw_llama_cpp!C7</f>
        <v/>
      </c>
      <c r="D7" s="23">
        <f>Raw_llama_cpp!D7</f>
        <v/>
      </c>
      <c r="E7" s="23">
        <f>Raw_llama_cpp!E7</f>
        <v/>
      </c>
      <c r="F7" s="23">
        <f>Raw_llama_cpp!F7</f>
        <v/>
      </c>
      <c r="G7" s="23">
        <f>Raw_llama_cpp!G7</f>
        <v/>
      </c>
      <c r="H7" s="23">
        <f>Raw_llama_cpp!H7</f>
        <v/>
      </c>
      <c r="I7" s="23">
        <f>Raw_llama_cpp!I7</f>
        <v/>
      </c>
    </row>
    <row r="8" ht="15" customHeight="1" s="11">
      <c r="A8" s="22" t="inlineStr">
        <is>
          <t>R32</t>
        </is>
      </c>
      <c r="B8" s="23">
        <f>Raw_llama_cpp!B8</f>
        <v/>
      </c>
      <c r="C8" s="23">
        <f>Raw_llama_cpp!C8</f>
        <v/>
      </c>
      <c r="D8" s="23">
        <f>Raw_llama_cpp!D8</f>
        <v/>
      </c>
      <c r="E8" s="23">
        <f>Raw_llama_cpp!E8</f>
        <v/>
      </c>
      <c r="F8" s="23">
        <f>Raw_llama_cpp!F8</f>
        <v/>
      </c>
      <c r="G8" s="23">
        <f>Raw_llama_cpp!G8</f>
        <v/>
      </c>
      <c r="H8" s="23">
        <f>Raw_llama_cpp!H8</f>
        <v/>
      </c>
      <c r="I8" s="23">
        <f>Raw_llama_cpp!I8</f>
        <v/>
      </c>
    </row>
    <row r="9" ht="15" customHeight="1" s="11">
      <c r="A9" s="22" t="inlineStr">
        <is>
          <t>R33</t>
        </is>
      </c>
      <c r="B9" s="23">
        <f>Raw_llama_cpp!B9</f>
        <v/>
      </c>
      <c r="C9" s="23">
        <f>Raw_llama_cpp!C9</f>
        <v/>
      </c>
      <c r="D9" s="23">
        <f>Raw_llama_cpp!D9</f>
        <v/>
      </c>
      <c r="E9" s="23">
        <f>Raw_llama_cpp!E9</f>
        <v/>
      </c>
      <c r="F9" s="23">
        <f>Raw_llama_cpp!F9</f>
        <v/>
      </c>
      <c r="G9" s="23">
        <f>Raw_llama_cpp!G9</f>
        <v/>
      </c>
      <c r="H9" s="23">
        <f>Raw_llama_cpp!H9</f>
        <v/>
      </c>
      <c r="I9" s="23">
        <f>Raw_llama_cpp!I9</f>
        <v/>
      </c>
    </row>
    <row r="10" ht="15" customHeight="1" s="11">
      <c r="A10" s="22" t="inlineStr">
        <is>
          <t>R34</t>
        </is>
      </c>
      <c r="B10" s="23">
        <f>Raw_llama_cpp!B10</f>
        <v/>
      </c>
      <c r="C10" s="23">
        <f>Raw_llama_cpp!C10</f>
        <v/>
      </c>
      <c r="D10" s="23">
        <f>Raw_llama_cpp!D10</f>
        <v/>
      </c>
      <c r="E10" s="23">
        <f>Raw_llama_cpp!E10</f>
        <v/>
      </c>
      <c r="F10" s="23">
        <f>Raw_llama_cpp!F10</f>
        <v/>
      </c>
      <c r="G10" s="23">
        <f>Raw_llama_cpp!G10</f>
        <v/>
      </c>
      <c r="H10" s="23">
        <f>Raw_llama_cpp!H10</f>
        <v/>
      </c>
      <c r="I10" s="23">
        <f>Raw_llama_cpp!I10</f>
        <v/>
      </c>
    </row>
    <row r="11" ht="15" customHeight="1" s="11">
      <c r="A11" s="22" t="inlineStr">
        <is>
          <t>R35</t>
        </is>
      </c>
      <c r="B11" s="23">
        <f>Raw_llama_cpp!B11</f>
        <v/>
      </c>
      <c r="C11" s="23">
        <f>Raw_llama_cpp!C11</f>
        <v/>
      </c>
      <c r="D11" s="23">
        <f>Raw_llama_cpp!D11</f>
        <v/>
      </c>
      <c r="E11" s="23">
        <f>Raw_llama_cpp!E11</f>
        <v/>
      </c>
      <c r="F11" s="23">
        <f>Raw_llama_cpp!F11</f>
        <v/>
      </c>
      <c r="G11" s="23">
        <f>Raw_llama_cpp!G11</f>
        <v/>
      </c>
      <c r="H11" s="23">
        <f>Raw_llama_cpp!H11</f>
        <v/>
      </c>
      <c r="I11" s="23">
        <f>Raw_llama_cpp!I11</f>
        <v/>
      </c>
    </row>
    <row r="12" ht="15" customHeight="1" s="11">
      <c r="A12" s="22" t="inlineStr">
        <is>
          <t>R36</t>
        </is>
      </c>
      <c r="B12" s="23">
        <f>Raw_llama_cpp!B12</f>
        <v/>
      </c>
      <c r="C12" s="23">
        <f>Raw_llama_cpp!C12</f>
        <v/>
      </c>
      <c r="D12" s="23">
        <f>Raw_llama_cpp!D12</f>
        <v/>
      </c>
      <c r="E12" s="23">
        <f>Raw_llama_cpp!E12</f>
        <v/>
      </c>
      <c r="F12" s="23">
        <f>Raw_llama_cpp!F12</f>
        <v/>
      </c>
      <c r="G12" s="23">
        <f>Raw_llama_cpp!G12</f>
        <v/>
      </c>
      <c r="H12" s="23">
        <f>Raw_llama_cpp!H12</f>
        <v/>
      </c>
      <c r="I12" s="23">
        <f>Raw_llama_cpp!I12</f>
        <v/>
      </c>
    </row>
    <row r="13" ht="15" customHeight="1" s="11">
      <c r="A13" s="22" t="inlineStr">
        <is>
          <t>R37</t>
        </is>
      </c>
      <c r="B13" s="23">
        <f>Raw_llama_cpp!B13</f>
        <v/>
      </c>
      <c r="C13" s="23">
        <f>Raw_llama_cpp!C13</f>
        <v/>
      </c>
      <c r="D13" s="23">
        <f>Raw_llama_cpp!D13</f>
        <v/>
      </c>
      <c r="E13" s="23">
        <f>Raw_llama_cpp!E13</f>
        <v/>
      </c>
      <c r="F13" s="23">
        <f>Raw_llama_cpp!F13</f>
        <v/>
      </c>
      <c r="G13" s="23">
        <f>Raw_llama_cpp!G13</f>
        <v/>
      </c>
      <c r="H13" s="23">
        <f>Raw_llama_cpp!H13</f>
        <v/>
      </c>
      <c r="I13" s="23">
        <f>Raw_llama_cpp!I13</f>
        <v/>
      </c>
    </row>
    <row r="14" ht="15" customHeight="1" s="11">
      <c r="A14" s="22" t="inlineStr">
        <is>
          <t>R38</t>
        </is>
      </c>
      <c r="B14" s="23">
        <f>Raw_llama_cpp!B14</f>
        <v/>
      </c>
      <c r="C14" s="23">
        <f>Raw_llama_cpp!C14</f>
        <v/>
      </c>
      <c r="D14" s="23">
        <f>Raw_llama_cpp!D14</f>
        <v/>
      </c>
      <c r="E14" s="23">
        <f>Raw_llama_cpp!E14</f>
        <v/>
      </c>
      <c r="F14" s="23">
        <f>Raw_llama_cpp!F14</f>
        <v/>
      </c>
      <c r="G14" s="23">
        <f>Raw_llama_cpp!G14</f>
        <v/>
      </c>
      <c r="H14" s="23">
        <f>Raw_llama_cpp!H14</f>
        <v/>
      </c>
      <c r="I14" s="23">
        <f>Raw_llama_cpp!I14</f>
        <v/>
      </c>
    </row>
    <row r="15" ht="15" customHeight="1" s="11">
      <c r="A15" s="22" t="inlineStr">
        <is>
          <t>R39</t>
        </is>
      </c>
      <c r="B15" s="23">
        <f>Raw_llama_cpp!B15</f>
        <v/>
      </c>
      <c r="C15" s="23">
        <f>Raw_llama_cpp!C15</f>
        <v/>
      </c>
      <c r="D15" s="23">
        <f>Raw_llama_cpp!D15</f>
        <v/>
      </c>
      <c r="E15" s="23">
        <f>Raw_llama_cpp!E15</f>
        <v/>
      </c>
      <c r="F15" s="23">
        <f>Raw_llama_cpp!F15</f>
        <v/>
      </c>
      <c r="G15" s="23">
        <f>Raw_llama_cpp!G15</f>
        <v/>
      </c>
      <c r="H15" s="23">
        <f>Raw_llama_cpp!H15</f>
        <v/>
      </c>
      <c r="I15" s="23">
        <f>Raw_llama_cpp!I15</f>
        <v/>
      </c>
    </row>
    <row r="16">
      <c r="A16" t="inlineStr">
        <is>
          <t>R40</t>
        </is>
      </c>
      <c r="B16">
        <f>Raw_llama_cpp!B16</f>
        <v/>
      </c>
      <c r="C16">
        <f>Raw_llama_cpp!C16</f>
        <v/>
      </c>
      <c r="D16">
        <f>Raw_llama_cpp!D16</f>
        <v/>
      </c>
      <c r="E16">
        <f>Raw_llama_cpp!E16</f>
        <v/>
      </c>
      <c r="F16">
        <f>Raw_llama_cpp!F16</f>
        <v/>
      </c>
      <c r="G16">
        <f>Raw_llama_cpp!G16</f>
        <v/>
      </c>
      <c r="H16">
        <f>Raw_llama_cpp!H16</f>
        <v/>
      </c>
      <c r="I16">
        <f>Raw_llama_cpp!I16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9"/>
  </cols>
  <sheetData>
    <row r="1" ht="24" customHeight="1" s="11">
      <c r="A1" s="21" t="inlineStr">
        <is>
          <t>llama.cpp — RSS Trend (n=40, R27–R40)</t>
        </is>
      </c>
    </row>
    <row r="2" ht="23.85" customHeight="1" s="11">
      <c r="A2" s="12" t="inlineStr">
        <is>
          <t>Round</t>
        </is>
      </c>
      <c r="B2" s="16" t="inlineStr">
        <is>
          <t>enc-BVX3</t>
        </is>
      </c>
      <c r="C2" s="16" t="inlineStr">
        <is>
          <t>enc-Other3</t>
        </is>
      </c>
      <c r="D2" s="16" t="inlineStr">
        <is>
          <t>enc-Lazy2</t>
        </is>
      </c>
      <c r="E2" s="16" t="inlineStr">
        <is>
          <t>enc-Optimal</t>
        </is>
      </c>
      <c r="F2" s="16" t="inlineStr">
        <is>
          <t>dec-BVX3</t>
        </is>
      </c>
      <c r="G2" s="16" t="inlineStr">
        <is>
          <t>dec-Other3</t>
        </is>
      </c>
      <c r="H2" s="16" t="inlineStr">
        <is>
          <t>dec-Lazy2</t>
        </is>
      </c>
      <c r="I2" s="16" t="inlineStr">
        <is>
          <t>dec-Optimal</t>
        </is>
      </c>
    </row>
    <row r="3" ht="15" customHeight="1" s="11">
      <c r="A3" s="22" t="inlineStr">
        <is>
          <t>R27</t>
        </is>
      </c>
      <c r="B3" s="23">
        <f>Raw_llama_cpp!J3</f>
        <v/>
      </c>
      <c r="C3" s="23">
        <f>Raw_llama_cpp!K3</f>
        <v/>
      </c>
      <c r="D3" s="23">
        <f>Raw_llama_cpp!L3</f>
        <v/>
      </c>
      <c r="E3" s="23">
        <f>Raw_llama_cpp!M3</f>
        <v/>
      </c>
      <c r="F3" s="23">
        <f>Raw_llama_cpp!N3</f>
        <v/>
      </c>
      <c r="G3" s="23">
        <f>Raw_llama_cpp!O3</f>
        <v/>
      </c>
      <c r="H3" s="23">
        <f>Raw_llama_cpp!P3</f>
        <v/>
      </c>
      <c r="I3" s="23">
        <f>Raw_llama_cpp!Q3</f>
        <v/>
      </c>
    </row>
    <row r="4" ht="15" customHeight="1" s="11">
      <c r="A4" s="22" t="inlineStr">
        <is>
          <t>R28</t>
        </is>
      </c>
      <c r="B4" s="23">
        <f>Raw_llama_cpp!J4</f>
        <v/>
      </c>
      <c r="C4" s="23">
        <f>Raw_llama_cpp!K4</f>
        <v/>
      </c>
      <c r="D4" s="23">
        <f>Raw_llama_cpp!L4</f>
        <v/>
      </c>
      <c r="E4" s="23">
        <f>Raw_llama_cpp!M4</f>
        <v/>
      </c>
      <c r="F4" s="23">
        <f>Raw_llama_cpp!N4</f>
        <v/>
      </c>
      <c r="G4" s="23">
        <f>Raw_llama_cpp!O4</f>
        <v/>
      </c>
      <c r="H4" s="23">
        <f>Raw_llama_cpp!P4</f>
        <v/>
      </c>
      <c r="I4" s="23">
        <f>Raw_llama_cpp!Q4</f>
        <v/>
      </c>
    </row>
    <row r="5" ht="15" customHeight="1" s="11">
      <c r="A5" s="22" t="inlineStr">
        <is>
          <t>R29</t>
        </is>
      </c>
      <c r="B5" s="23">
        <f>Raw_llama_cpp!J5</f>
        <v/>
      </c>
      <c r="C5" s="23">
        <f>Raw_llama_cpp!K5</f>
        <v/>
      </c>
      <c r="D5" s="23">
        <f>Raw_llama_cpp!L5</f>
        <v/>
      </c>
      <c r="E5" s="23">
        <f>Raw_llama_cpp!M5</f>
        <v/>
      </c>
      <c r="F5" s="23">
        <f>Raw_llama_cpp!N5</f>
        <v/>
      </c>
      <c r="G5" s="23">
        <f>Raw_llama_cpp!O5</f>
        <v/>
      </c>
      <c r="H5" s="23">
        <f>Raw_llama_cpp!P5</f>
        <v/>
      </c>
      <c r="I5" s="23">
        <f>Raw_llama_cpp!Q5</f>
        <v/>
      </c>
    </row>
    <row r="6" ht="15" customHeight="1" s="11">
      <c r="A6" s="22" t="inlineStr">
        <is>
          <t>R30</t>
        </is>
      </c>
      <c r="B6" s="23">
        <f>Raw_llama_cpp!J6</f>
        <v/>
      </c>
      <c r="C6" s="23">
        <f>Raw_llama_cpp!K6</f>
        <v/>
      </c>
      <c r="D6" s="23">
        <f>Raw_llama_cpp!L6</f>
        <v/>
      </c>
      <c r="E6" s="23">
        <f>Raw_llama_cpp!M6</f>
        <v/>
      </c>
      <c r="F6" s="23">
        <f>Raw_llama_cpp!N6</f>
        <v/>
      </c>
      <c r="G6" s="23">
        <f>Raw_llama_cpp!O6</f>
        <v/>
      </c>
      <c r="H6" s="23">
        <f>Raw_llama_cpp!P6</f>
        <v/>
      </c>
      <c r="I6" s="23">
        <f>Raw_llama_cpp!Q6</f>
        <v/>
      </c>
    </row>
    <row r="7" ht="15" customHeight="1" s="11">
      <c r="A7" s="22" t="inlineStr">
        <is>
          <t>R31</t>
        </is>
      </c>
      <c r="B7" s="23">
        <f>Raw_llama_cpp!J7</f>
        <v/>
      </c>
      <c r="C7" s="23">
        <f>Raw_llama_cpp!K7</f>
        <v/>
      </c>
      <c r="D7" s="23">
        <f>Raw_llama_cpp!L7</f>
        <v/>
      </c>
      <c r="E7" s="23">
        <f>Raw_llama_cpp!M7</f>
        <v/>
      </c>
      <c r="F7" s="23">
        <f>Raw_llama_cpp!N7</f>
        <v/>
      </c>
      <c r="G7" s="23">
        <f>Raw_llama_cpp!O7</f>
        <v/>
      </c>
      <c r="H7" s="23">
        <f>Raw_llama_cpp!P7</f>
        <v/>
      </c>
      <c r="I7" s="23">
        <f>Raw_llama_cpp!Q7</f>
        <v/>
      </c>
    </row>
    <row r="8" ht="15" customHeight="1" s="11">
      <c r="A8" s="22" t="inlineStr">
        <is>
          <t>R32</t>
        </is>
      </c>
      <c r="B8" s="23">
        <f>Raw_llama_cpp!J8</f>
        <v/>
      </c>
      <c r="C8" s="23">
        <f>Raw_llama_cpp!K8</f>
        <v/>
      </c>
      <c r="D8" s="23">
        <f>Raw_llama_cpp!L8</f>
        <v/>
      </c>
      <c r="E8" s="23">
        <f>Raw_llama_cpp!M8</f>
        <v/>
      </c>
      <c r="F8" s="23">
        <f>Raw_llama_cpp!N8</f>
        <v/>
      </c>
      <c r="G8" s="23">
        <f>Raw_llama_cpp!O8</f>
        <v/>
      </c>
      <c r="H8" s="23">
        <f>Raw_llama_cpp!P8</f>
        <v/>
      </c>
      <c r="I8" s="23">
        <f>Raw_llama_cpp!Q8</f>
        <v/>
      </c>
    </row>
    <row r="9" ht="15" customHeight="1" s="11">
      <c r="A9" s="22" t="inlineStr">
        <is>
          <t>R33</t>
        </is>
      </c>
      <c r="B9" s="23">
        <f>Raw_llama_cpp!J9</f>
        <v/>
      </c>
      <c r="C9" s="23">
        <f>Raw_llama_cpp!K9</f>
        <v/>
      </c>
      <c r="D9" s="23">
        <f>Raw_llama_cpp!L9</f>
        <v/>
      </c>
      <c r="E9" s="23">
        <f>Raw_llama_cpp!M9</f>
        <v/>
      </c>
      <c r="F9" s="23">
        <f>Raw_llama_cpp!N9</f>
        <v/>
      </c>
      <c r="G9" s="23">
        <f>Raw_llama_cpp!O9</f>
        <v/>
      </c>
      <c r="H9" s="23">
        <f>Raw_llama_cpp!P9</f>
        <v/>
      </c>
      <c r="I9" s="23">
        <f>Raw_llama_cpp!Q9</f>
        <v/>
      </c>
    </row>
    <row r="10" ht="15" customHeight="1" s="11">
      <c r="A10" s="22" t="inlineStr">
        <is>
          <t>R34</t>
        </is>
      </c>
      <c r="B10" s="23">
        <f>Raw_llama_cpp!J10</f>
        <v/>
      </c>
      <c r="C10" s="23">
        <f>Raw_llama_cpp!K10</f>
        <v/>
      </c>
      <c r="D10" s="23">
        <f>Raw_llama_cpp!L10</f>
        <v/>
      </c>
      <c r="E10" s="23">
        <f>Raw_llama_cpp!M10</f>
        <v/>
      </c>
      <c r="F10" s="23">
        <f>Raw_llama_cpp!N10</f>
        <v/>
      </c>
      <c r="G10" s="23">
        <f>Raw_llama_cpp!O10</f>
        <v/>
      </c>
      <c r="H10" s="23">
        <f>Raw_llama_cpp!P10</f>
        <v/>
      </c>
      <c r="I10" s="23">
        <f>Raw_llama_cpp!Q10</f>
        <v/>
      </c>
    </row>
    <row r="11" ht="15" customHeight="1" s="11">
      <c r="A11" s="22" t="inlineStr">
        <is>
          <t>R35</t>
        </is>
      </c>
      <c r="B11" s="23">
        <f>Raw_llama_cpp!J11</f>
        <v/>
      </c>
      <c r="C11" s="23">
        <f>Raw_llama_cpp!K11</f>
        <v/>
      </c>
      <c r="D11" s="23">
        <f>Raw_llama_cpp!L11</f>
        <v/>
      </c>
      <c r="E11" s="23">
        <f>Raw_llama_cpp!M11</f>
        <v/>
      </c>
      <c r="F11" s="23">
        <f>Raw_llama_cpp!N11</f>
        <v/>
      </c>
      <c r="G11" s="23">
        <f>Raw_llama_cpp!O11</f>
        <v/>
      </c>
      <c r="H11" s="23">
        <f>Raw_llama_cpp!P11</f>
        <v/>
      </c>
      <c r="I11" s="23">
        <f>Raw_llama_cpp!Q11</f>
        <v/>
      </c>
    </row>
    <row r="12" ht="15" customHeight="1" s="11">
      <c r="A12" s="22" t="inlineStr">
        <is>
          <t>R36</t>
        </is>
      </c>
      <c r="B12" s="23">
        <f>Raw_llama_cpp!J12</f>
        <v/>
      </c>
      <c r="C12" s="23">
        <f>Raw_llama_cpp!K12</f>
        <v/>
      </c>
      <c r="D12" s="23">
        <f>Raw_llama_cpp!L12</f>
        <v/>
      </c>
      <c r="E12" s="23">
        <f>Raw_llama_cpp!M12</f>
        <v/>
      </c>
      <c r="F12" s="23">
        <f>Raw_llama_cpp!N12</f>
        <v/>
      </c>
      <c r="G12" s="23">
        <f>Raw_llama_cpp!O12</f>
        <v/>
      </c>
      <c r="H12" s="23">
        <f>Raw_llama_cpp!P12</f>
        <v/>
      </c>
      <c r="I12" s="23">
        <f>Raw_llama_cpp!Q12</f>
        <v/>
      </c>
    </row>
    <row r="13" ht="15" customHeight="1" s="11">
      <c r="A13" s="22" t="inlineStr">
        <is>
          <t>R37</t>
        </is>
      </c>
      <c r="B13" s="23">
        <f>Raw_llama_cpp!J13</f>
        <v/>
      </c>
      <c r="C13" s="23">
        <f>Raw_llama_cpp!K13</f>
        <v/>
      </c>
      <c r="D13" s="23">
        <f>Raw_llama_cpp!L13</f>
        <v/>
      </c>
      <c r="E13" s="23">
        <f>Raw_llama_cpp!M13</f>
        <v/>
      </c>
      <c r="F13" s="23">
        <f>Raw_llama_cpp!N13</f>
        <v/>
      </c>
      <c r="G13" s="23">
        <f>Raw_llama_cpp!O13</f>
        <v/>
      </c>
      <c r="H13" s="23">
        <f>Raw_llama_cpp!P13</f>
        <v/>
      </c>
      <c r="I13" s="23">
        <f>Raw_llama_cpp!Q13</f>
        <v/>
      </c>
    </row>
    <row r="14" ht="15" customHeight="1" s="11">
      <c r="A14" s="22" t="inlineStr">
        <is>
          <t>R38</t>
        </is>
      </c>
      <c r="B14" s="23">
        <f>Raw_llama_cpp!J14</f>
        <v/>
      </c>
      <c r="C14" s="23">
        <f>Raw_llama_cpp!K14</f>
        <v/>
      </c>
      <c r="D14" s="23">
        <f>Raw_llama_cpp!L14</f>
        <v/>
      </c>
      <c r="E14" s="23">
        <f>Raw_llama_cpp!M14</f>
        <v/>
      </c>
      <c r="F14" s="23">
        <f>Raw_llama_cpp!N14</f>
        <v/>
      </c>
      <c r="G14" s="23">
        <f>Raw_llama_cpp!O14</f>
        <v/>
      </c>
      <c r="H14" s="23">
        <f>Raw_llama_cpp!P14</f>
        <v/>
      </c>
      <c r="I14" s="23">
        <f>Raw_llama_cpp!Q14</f>
        <v/>
      </c>
    </row>
    <row r="15" ht="15" customHeight="1" s="11">
      <c r="A15" s="22" t="inlineStr">
        <is>
          <t>R39</t>
        </is>
      </c>
      <c r="B15" s="23">
        <f>Raw_llama_cpp!J15</f>
        <v/>
      </c>
      <c r="C15" s="23">
        <f>Raw_llama_cpp!K15</f>
        <v/>
      </c>
      <c r="D15" s="23">
        <f>Raw_llama_cpp!L15</f>
        <v/>
      </c>
      <c r="E15" s="23">
        <f>Raw_llama_cpp!M15</f>
        <v/>
      </c>
      <c r="F15" s="23">
        <f>Raw_llama_cpp!N15</f>
        <v/>
      </c>
      <c r="G15" s="23">
        <f>Raw_llama_cpp!O15</f>
        <v/>
      </c>
      <c r="H15" s="23">
        <f>Raw_llama_cpp!P15</f>
        <v/>
      </c>
      <c r="I15" s="23">
        <f>Raw_llama_cpp!Q15</f>
        <v/>
      </c>
    </row>
    <row r="16">
      <c r="A16" t="inlineStr">
        <is>
          <t>R40</t>
        </is>
      </c>
      <c r="B16">
        <f>Raw_llama_cpp!J16</f>
        <v/>
      </c>
      <c r="C16">
        <f>Raw_llama_cpp!K16</f>
        <v/>
      </c>
      <c r="D16">
        <f>Raw_llama_cpp!L16</f>
        <v/>
      </c>
      <c r="E16">
        <f>Raw_llama_cpp!M16</f>
        <v/>
      </c>
      <c r="F16">
        <f>Raw_llama_cpp!N16</f>
        <v/>
      </c>
      <c r="G16">
        <f>Raw_llama_cpp!O16</f>
        <v/>
      </c>
      <c r="H16">
        <f>Raw_llama_cpp!P16</f>
        <v/>
      </c>
      <c r="I16">
        <f>Raw_llama_cpp!Q16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9"/>
  </cols>
  <sheetData>
    <row r="1" ht="24" customHeight="1" s="11">
      <c r="A1" s="21" t="inlineStr">
        <is>
          <t>llama.cpp — Energy Trend (n=40, R27–R40)</t>
        </is>
      </c>
    </row>
    <row r="2" ht="23.85" customHeight="1" s="11">
      <c r="A2" s="12" t="inlineStr">
        <is>
          <t>Round</t>
        </is>
      </c>
      <c r="B2" s="16" t="inlineStr">
        <is>
          <t>enc-BVX3</t>
        </is>
      </c>
      <c r="C2" s="16" t="inlineStr">
        <is>
          <t>enc-Other3</t>
        </is>
      </c>
      <c r="D2" s="16" t="inlineStr">
        <is>
          <t>enc-Lazy2</t>
        </is>
      </c>
      <c r="E2" s="16" t="inlineStr">
        <is>
          <t>enc-Optimal</t>
        </is>
      </c>
      <c r="F2" s="16" t="inlineStr">
        <is>
          <t>dec-BVX3</t>
        </is>
      </c>
      <c r="G2" s="16" t="inlineStr">
        <is>
          <t>dec-Other3</t>
        </is>
      </c>
      <c r="H2" s="16" t="inlineStr">
        <is>
          <t>dec-Lazy2</t>
        </is>
      </c>
      <c r="I2" s="16" t="inlineStr">
        <is>
          <t>dec-Optimal</t>
        </is>
      </c>
    </row>
    <row r="3" ht="15" customHeight="1" s="11">
      <c r="A3" s="22" t="inlineStr">
        <is>
          <t>R27</t>
        </is>
      </c>
      <c r="B3" s="23">
        <f>Raw_llama_cpp!R3</f>
        <v/>
      </c>
      <c r="C3" s="23">
        <f>Raw_llama_cpp!S3</f>
        <v/>
      </c>
      <c r="D3" s="23">
        <f>Raw_llama_cpp!T3</f>
        <v/>
      </c>
      <c r="E3" s="23">
        <f>Raw_llama_cpp!U3</f>
        <v/>
      </c>
      <c r="F3" s="23">
        <f>Raw_llama_cpp!V3</f>
        <v/>
      </c>
      <c r="G3" s="23">
        <f>Raw_llama_cpp!W3</f>
        <v/>
      </c>
      <c r="H3" s="23">
        <f>Raw_llama_cpp!X3</f>
        <v/>
      </c>
      <c r="I3" s="23">
        <f>Raw_llama_cpp!Y3</f>
        <v/>
      </c>
    </row>
    <row r="4" ht="15" customHeight="1" s="11">
      <c r="A4" s="22" t="inlineStr">
        <is>
          <t>R28</t>
        </is>
      </c>
      <c r="B4" s="23">
        <f>Raw_llama_cpp!R4</f>
        <v/>
      </c>
      <c r="C4" s="23">
        <f>Raw_llama_cpp!S4</f>
        <v/>
      </c>
      <c r="D4" s="23">
        <f>Raw_llama_cpp!T4</f>
        <v/>
      </c>
      <c r="E4" s="23">
        <f>Raw_llama_cpp!U4</f>
        <v/>
      </c>
      <c r="F4" s="23">
        <f>Raw_llama_cpp!V4</f>
        <v/>
      </c>
      <c r="G4" s="23">
        <f>Raw_llama_cpp!W4</f>
        <v/>
      </c>
      <c r="H4" s="23">
        <f>Raw_llama_cpp!X4</f>
        <v/>
      </c>
      <c r="I4" s="23">
        <f>Raw_llama_cpp!Y4</f>
        <v/>
      </c>
    </row>
    <row r="5" ht="15" customHeight="1" s="11">
      <c r="A5" s="22" t="inlineStr">
        <is>
          <t>R29</t>
        </is>
      </c>
      <c r="B5" s="23">
        <f>Raw_llama_cpp!R5</f>
        <v/>
      </c>
      <c r="C5" s="23">
        <f>Raw_llama_cpp!S5</f>
        <v/>
      </c>
      <c r="D5" s="23">
        <f>Raw_llama_cpp!T5</f>
        <v/>
      </c>
      <c r="E5" s="23">
        <f>Raw_llama_cpp!U5</f>
        <v/>
      </c>
      <c r="F5" s="23">
        <f>Raw_llama_cpp!V5</f>
        <v/>
      </c>
      <c r="G5" s="23">
        <f>Raw_llama_cpp!W5</f>
        <v/>
      </c>
      <c r="H5" s="23">
        <f>Raw_llama_cpp!X5</f>
        <v/>
      </c>
      <c r="I5" s="23">
        <f>Raw_llama_cpp!Y5</f>
        <v/>
      </c>
    </row>
    <row r="6" ht="15" customHeight="1" s="11">
      <c r="A6" s="22" t="inlineStr">
        <is>
          <t>R30</t>
        </is>
      </c>
      <c r="B6" s="23">
        <f>Raw_llama_cpp!R6</f>
        <v/>
      </c>
      <c r="C6" s="23">
        <f>Raw_llama_cpp!S6</f>
        <v/>
      </c>
      <c r="D6" s="23">
        <f>Raw_llama_cpp!T6</f>
        <v/>
      </c>
      <c r="E6" s="23">
        <f>Raw_llama_cpp!U6</f>
        <v/>
      </c>
      <c r="F6" s="23">
        <f>Raw_llama_cpp!V6</f>
        <v/>
      </c>
      <c r="G6" s="23">
        <f>Raw_llama_cpp!W6</f>
        <v/>
      </c>
      <c r="H6" s="23">
        <f>Raw_llama_cpp!X6</f>
        <v/>
      </c>
      <c r="I6" s="23">
        <f>Raw_llama_cpp!Y6</f>
        <v/>
      </c>
    </row>
    <row r="7" ht="15" customHeight="1" s="11">
      <c r="A7" s="22" t="inlineStr">
        <is>
          <t>R31</t>
        </is>
      </c>
      <c r="B7" s="23">
        <f>Raw_llama_cpp!R7</f>
        <v/>
      </c>
      <c r="C7" s="23">
        <f>Raw_llama_cpp!S7</f>
        <v/>
      </c>
      <c r="D7" s="23">
        <f>Raw_llama_cpp!T7</f>
        <v/>
      </c>
      <c r="E7" s="23">
        <f>Raw_llama_cpp!U7</f>
        <v/>
      </c>
      <c r="F7" s="23">
        <f>Raw_llama_cpp!V7</f>
        <v/>
      </c>
      <c r="G7" s="23">
        <f>Raw_llama_cpp!W7</f>
        <v/>
      </c>
      <c r="H7" s="23">
        <f>Raw_llama_cpp!X7</f>
        <v/>
      </c>
      <c r="I7" s="23">
        <f>Raw_llama_cpp!Y7</f>
        <v/>
      </c>
    </row>
    <row r="8" ht="15" customHeight="1" s="11">
      <c r="A8" s="22" t="inlineStr">
        <is>
          <t>R32</t>
        </is>
      </c>
      <c r="B8" s="23">
        <f>Raw_llama_cpp!R8</f>
        <v/>
      </c>
      <c r="C8" s="23">
        <f>Raw_llama_cpp!S8</f>
        <v/>
      </c>
      <c r="D8" s="23">
        <f>Raw_llama_cpp!T8</f>
        <v/>
      </c>
      <c r="E8" s="23">
        <f>Raw_llama_cpp!U8</f>
        <v/>
      </c>
      <c r="F8" s="23">
        <f>Raw_llama_cpp!V8</f>
        <v/>
      </c>
      <c r="G8" s="23">
        <f>Raw_llama_cpp!W8</f>
        <v/>
      </c>
      <c r="H8" s="23">
        <f>Raw_llama_cpp!X8</f>
        <v/>
      </c>
      <c r="I8" s="23">
        <f>Raw_llama_cpp!Y8</f>
        <v/>
      </c>
    </row>
    <row r="9" ht="15" customHeight="1" s="11">
      <c r="A9" s="22" t="inlineStr">
        <is>
          <t>R33</t>
        </is>
      </c>
      <c r="B9" s="23">
        <f>Raw_llama_cpp!R9</f>
        <v/>
      </c>
      <c r="C9" s="23">
        <f>Raw_llama_cpp!S9</f>
        <v/>
      </c>
      <c r="D9" s="23">
        <f>Raw_llama_cpp!T9</f>
        <v/>
      </c>
      <c r="E9" s="23">
        <f>Raw_llama_cpp!U9</f>
        <v/>
      </c>
      <c r="F9" s="23">
        <f>Raw_llama_cpp!V9</f>
        <v/>
      </c>
      <c r="G9" s="23">
        <f>Raw_llama_cpp!W9</f>
        <v/>
      </c>
      <c r="H9" s="23">
        <f>Raw_llama_cpp!X9</f>
        <v/>
      </c>
      <c r="I9" s="23">
        <f>Raw_llama_cpp!Y9</f>
        <v/>
      </c>
    </row>
    <row r="10" ht="15" customHeight="1" s="11">
      <c r="A10" s="22" t="inlineStr">
        <is>
          <t>R34</t>
        </is>
      </c>
      <c r="B10" s="23">
        <f>Raw_llama_cpp!R10</f>
        <v/>
      </c>
      <c r="C10" s="23">
        <f>Raw_llama_cpp!S10</f>
        <v/>
      </c>
      <c r="D10" s="23">
        <f>Raw_llama_cpp!T10</f>
        <v/>
      </c>
      <c r="E10" s="23">
        <f>Raw_llama_cpp!U10</f>
        <v/>
      </c>
      <c r="F10" s="23">
        <f>Raw_llama_cpp!V10</f>
        <v/>
      </c>
      <c r="G10" s="23">
        <f>Raw_llama_cpp!W10</f>
        <v/>
      </c>
      <c r="H10" s="23">
        <f>Raw_llama_cpp!X10</f>
        <v/>
      </c>
      <c r="I10" s="23">
        <f>Raw_llama_cpp!Y10</f>
        <v/>
      </c>
    </row>
    <row r="11" ht="15" customHeight="1" s="11">
      <c r="A11" s="22" t="inlineStr">
        <is>
          <t>R35</t>
        </is>
      </c>
      <c r="B11" s="23">
        <f>Raw_llama_cpp!R11</f>
        <v/>
      </c>
      <c r="C11" s="23">
        <f>Raw_llama_cpp!S11</f>
        <v/>
      </c>
      <c r="D11" s="23">
        <f>Raw_llama_cpp!T11</f>
        <v/>
      </c>
      <c r="E11" s="23">
        <f>Raw_llama_cpp!U11</f>
        <v/>
      </c>
      <c r="F11" s="23">
        <f>Raw_llama_cpp!V11</f>
        <v/>
      </c>
      <c r="G11" s="23">
        <f>Raw_llama_cpp!W11</f>
        <v/>
      </c>
      <c r="H11" s="23">
        <f>Raw_llama_cpp!X11</f>
        <v/>
      </c>
      <c r="I11" s="23">
        <f>Raw_llama_cpp!Y11</f>
        <v/>
      </c>
    </row>
    <row r="12" ht="15" customHeight="1" s="11">
      <c r="A12" s="22" t="inlineStr">
        <is>
          <t>R36</t>
        </is>
      </c>
      <c r="B12" s="23">
        <f>Raw_llama_cpp!R12</f>
        <v/>
      </c>
      <c r="C12" s="23">
        <f>Raw_llama_cpp!S12</f>
        <v/>
      </c>
      <c r="D12" s="23">
        <f>Raw_llama_cpp!T12</f>
        <v/>
      </c>
      <c r="E12" s="23">
        <f>Raw_llama_cpp!U12</f>
        <v/>
      </c>
      <c r="F12" s="23">
        <f>Raw_llama_cpp!V12</f>
        <v/>
      </c>
      <c r="G12" s="23">
        <f>Raw_llama_cpp!W12</f>
        <v/>
      </c>
      <c r="H12" s="23">
        <f>Raw_llama_cpp!X12</f>
        <v/>
      </c>
      <c r="I12" s="23">
        <f>Raw_llama_cpp!Y12</f>
        <v/>
      </c>
    </row>
    <row r="13" ht="15" customHeight="1" s="11">
      <c r="A13" s="22" t="inlineStr">
        <is>
          <t>R37</t>
        </is>
      </c>
      <c r="B13" s="23">
        <f>Raw_llama_cpp!R13</f>
        <v/>
      </c>
      <c r="C13" s="23">
        <f>Raw_llama_cpp!S13</f>
        <v/>
      </c>
      <c r="D13" s="23">
        <f>Raw_llama_cpp!T13</f>
        <v/>
      </c>
      <c r="E13" s="23">
        <f>Raw_llama_cpp!U13</f>
        <v/>
      </c>
      <c r="F13" s="23">
        <f>Raw_llama_cpp!V13</f>
        <v/>
      </c>
      <c r="G13" s="23">
        <f>Raw_llama_cpp!W13</f>
        <v/>
      </c>
      <c r="H13" s="23">
        <f>Raw_llama_cpp!X13</f>
        <v/>
      </c>
      <c r="I13" s="23">
        <f>Raw_llama_cpp!Y13</f>
        <v/>
      </c>
    </row>
    <row r="14" ht="15" customHeight="1" s="11">
      <c r="A14" s="22" t="inlineStr">
        <is>
          <t>R38</t>
        </is>
      </c>
      <c r="B14" s="23">
        <f>Raw_llama_cpp!R14</f>
        <v/>
      </c>
      <c r="C14" s="23">
        <f>Raw_llama_cpp!S14</f>
        <v/>
      </c>
      <c r="D14" s="23">
        <f>Raw_llama_cpp!T14</f>
        <v/>
      </c>
      <c r="E14" s="23">
        <f>Raw_llama_cpp!U14</f>
        <v/>
      </c>
      <c r="F14" s="23">
        <f>Raw_llama_cpp!V14</f>
        <v/>
      </c>
      <c r="G14" s="23">
        <f>Raw_llama_cpp!W14</f>
        <v/>
      </c>
      <c r="H14" s="23">
        <f>Raw_llama_cpp!X14</f>
        <v/>
      </c>
      <c r="I14" s="23">
        <f>Raw_llama_cpp!Y14</f>
        <v/>
      </c>
    </row>
    <row r="15" ht="15" customHeight="1" s="11">
      <c r="A15" s="22" t="inlineStr">
        <is>
          <t>R39</t>
        </is>
      </c>
      <c r="B15" s="23">
        <f>Raw_llama_cpp!R15</f>
        <v/>
      </c>
      <c r="C15" s="23">
        <f>Raw_llama_cpp!S15</f>
        <v/>
      </c>
      <c r="D15" s="23">
        <f>Raw_llama_cpp!T15</f>
        <v/>
      </c>
      <c r="E15" s="23">
        <f>Raw_llama_cpp!U15</f>
        <v/>
      </c>
      <c r="F15" s="23">
        <f>Raw_llama_cpp!V15</f>
        <v/>
      </c>
      <c r="G15" s="23">
        <f>Raw_llama_cpp!W15</f>
        <v/>
      </c>
      <c r="H15" s="23">
        <f>Raw_llama_cpp!X15</f>
        <v/>
      </c>
      <c r="I15" s="23">
        <f>Raw_llama_cpp!Y15</f>
        <v/>
      </c>
    </row>
    <row r="16">
      <c r="A16" t="inlineStr">
        <is>
          <t>R40</t>
        </is>
      </c>
      <c r="B16">
        <f>Raw_llama_cpp!R16</f>
        <v/>
      </c>
      <c r="C16">
        <f>Raw_llama_cpp!S16</f>
        <v/>
      </c>
      <c r="D16">
        <f>Raw_llama_cpp!T16</f>
        <v/>
      </c>
      <c r="E16">
        <f>Raw_llama_cpp!U16</f>
        <v/>
      </c>
      <c r="F16">
        <f>Raw_llama_cpp!V16</f>
        <v/>
      </c>
      <c r="G16">
        <f>Raw_llama_cpp!W16</f>
        <v/>
      </c>
      <c r="H16">
        <f>Raw_llama_cpp!X16</f>
        <v/>
      </c>
      <c r="I16">
        <f>Raw_llama_cpp!Y16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0" customWidth="1" style="10" min="2" max="5"/>
  </cols>
  <sheetData>
    <row r="1" ht="24" customHeight="1" s="11">
      <c r="A1" s="21" t="inlineStr">
        <is>
          <t>llama.cpp — CompRatio Trend (n=40, R27–R40)</t>
        </is>
      </c>
    </row>
    <row r="2" ht="15" customHeight="1" s="11">
      <c r="A2" s="12" t="inlineStr">
        <is>
          <t>Round</t>
        </is>
      </c>
      <c r="B2" s="16" t="inlineStr">
        <is>
          <t>BVX3</t>
        </is>
      </c>
      <c r="C2" s="16" t="inlineStr">
        <is>
          <t>Other3</t>
        </is>
      </c>
      <c r="D2" s="16" t="inlineStr">
        <is>
          <t>Lazy2</t>
        </is>
      </c>
      <c r="E2" s="16" t="inlineStr">
        <is>
          <t>Optimal</t>
        </is>
      </c>
    </row>
    <row r="3" ht="15" customHeight="1" s="11">
      <c r="A3" s="22" t="inlineStr">
        <is>
          <t>R27</t>
        </is>
      </c>
      <c r="B3" s="23">
        <f>Raw_llama_cpp!Z3</f>
        <v/>
      </c>
      <c r="C3" s="23">
        <f>Raw_llama_cpp!AA3</f>
        <v/>
      </c>
      <c r="D3" s="23">
        <f>Raw_llama_cpp!AB3</f>
        <v/>
      </c>
      <c r="E3" s="23">
        <f>Raw_llama_cpp!AC3</f>
        <v/>
      </c>
    </row>
    <row r="4" ht="15" customHeight="1" s="11">
      <c r="A4" s="22" t="inlineStr">
        <is>
          <t>R28</t>
        </is>
      </c>
      <c r="B4" s="23">
        <f>Raw_llama_cpp!Z4</f>
        <v/>
      </c>
      <c r="C4" s="23">
        <f>Raw_llama_cpp!AA4</f>
        <v/>
      </c>
      <c r="D4" s="23">
        <f>Raw_llama_cpp!AB4</f>
        <v/>
      </c>
      <c r="E4" s="23">
        <f>Raw_llama_cpp!AC4</f>
        <v/>
      </c>
    </row>
    <row r="5" ht="15" customHeight="1" s="11">
      <c r="A5" s="22" t="inlineStr">
        <is>
          <t>R29</t>
        </is>
      </c>
      <c r="B5" s="23">
        <f>Raw_llama_cpp!Z5</f>
        <v/>
      </c>
      <c r="C5" s="23">
        <f>Raw_llama_cpp!AA5</f>
        <v/>
      </c>
      <c r="D5" s="23">
        <f>Raw_llama_cpp!AB5</f>
        <v/>
      </c>
      <c r="E5" s="23">
        <f>Raw_llama_cpp!AC5</f>
        <v/>
      </c>
    </row>
    <row r="6" ht="15" customHeight="1" s="11">
      <c r="A6" s="22" t="inlineStr">
        <is>
          <t>R30</t>
        </is>
      </c>
      <c r="B6" s="23">
        <f>Raw_llama_cpp!Z6</f>
        <v/>
      </c>
      <c r="C6" s="23">
        <f>Raw_llama_cpp!AA6</f>
        <v/>
      </c>
      <c r="D6" s="23">
        <f>Raw_llama_cpp!AB6</f>
        <v/>
      </c>
      <c r="E6" s="23">
        <f>Raw_llama_cpp!AC6</f>
        <v/>
      </c>
    </row>
    <row r="7" ht="15" customHeight="1" s="11">
      <c r="A7" s="22" t="inlineStr">
        <is>
          <t>R31</t>
        </is>
      </c>
      <c r="B7" s="23">
        <f>Raw_llama_cpp!Z7</f>
        <v/>
      </c>
      <c r="C7" s="23">
        <f>Raw_llama_cpp!AA7</f>
        <v/>
      </c>
      <c r="D7" s="23">
        <f>Raw_llama_cpp!AB7</f>
        <v/>
      </c>
      <c r="E7" s="23">
        <f>Raw_llama_cpp!AC7</f>
        <v/>
      </c>
    </row>
    <row r="8" ht="15" customHeight="1" s="11">
      <c r="A8" s="22" t="inlineStr">
        <is>
          <t>R32</t>
        </is>
      </c>
      <c r="B8" s="23">
        <f>Raw_llama_cpp!Z8</f>
        <v/>
      </c>
      <c r="C8" s="23">
        <f>Raw_llama_cpp!AA8</f>
        <v/>
      </c>
      <c r="D8" s="23">
        <f>Raw_llama_cpp!AB8</f>
        <v/>
      </c>
      <c r="E8" s="23">
        <f>Raw_llama_cpp!AC8</f>
        <v/>
      </c>
    </row>
    <row r="9" ht="15" customHeight="1" s="11">
      <c r="A9" s="22" t="inlineStr">
        <is>
          <t>R33</t>
        </is>
      </c>
      <c r="B9" s="23">
        <f>Raw_llama_cpp!Z9</f>
        <v/>
      </c>
      <c r="C9" s="23">
        <f>Raw_llama_cpp!AA9</f>
        <v/>
      </c>
      <c r="D9" s="23">
        <f>Raw_llama_cpp!AB9</f>
        <v/>
      </c>
      <c r="E9" s="23">
        <f>Raw_llama_cpp!AC9</f>
        <v/>
      </c>
    </row>
    <row r="10" ht="15" customHeight="1" s="11">
      <c r="A10" s="22" t="inlineStr">
        <is>
          <t>R34</t>
        </is>
      </c>
      <c r="B10" s="23">
        <f>Raw_llama_cpp!Z10</f>
        <v/>
      </c>
      <c r="C10" s="23">
        <f>Raw_llama_cpp!AA10</f>
        <v/>
      </c>
      <c r="D10" s="23">
        <f>Raw_llama_cpp!AB10</f>
        <v/>
      </c>
      <c r="E10" s="23">
        <f>Raw_llama_cpp!AC10</f>
        <v/>
      </c>
    </row>
    <row r="11" ht="15" customHeight="1" s="11">
      <c r="A11" s="22" t="inlineStr">
        <is>
          <t>R35</t>
        </is>
      </c>
      <c r="B11" s="23">
        <f>Raw_llama_cpp!Z11</f>
        <v/>
      </c>
      <c r="C11" s="23">
        <f>Raw_llama_cpp!AA11</f>
        <v/>
      </c>
      <c r="D11" s="23">
        <f>Raw_llama_cpp!AB11</f>
        <v/>
      </c>
      <c r="E11" s="23">
        <f>Raw_llama_cpp!AC11</f>
        <v/>
      </c>
    </row>
    <row r="12" ht="15" customHeight="1" s="11">
      <c r="A12" s="22" t="inlineStr">
        <is>
          <t>R36</t>
        </is>
      </c>
      <c r="B12" s="23">
        <f>Raw_llama_cpp!Z12</f>
        <v/>
      </c>
      <c r="C12" s="23">
        <f>Raw_llama_cpp!AA12</f>
        <v/>
      </c>
      <c r="D12" s="23">
        <f>Raw_llama_cpp!AB12</f>
        <v/>
      </c>
      <c r="E12" s="23">
        <f>Raw_llama_cpp!AC12</f>
        <v/>
      </c>
    </row>
    <row r="13" ht="15" customHeight="1" s="11">
      <c r="A13" s="22" t="inlineStr">
        <is>
          <t>R37</t>
        </is>
      </c>
      <c r="B13" s="23">
        <f>Raw_llama_cpp!Z13</f>
        <v/>
      </c>
      <c r="C13" s="23">
        <f>Raw_llama_cpp!AA13</f>
        <v/>
      </c>
      <c r="D13" s="23">
        <f>Raw_llama_cpp!AB13</f>
        <v/>
      </c>
      <c r="E13" s="23">
        <f>Raw_llama_cpp!AC13</f>
        <v/>
      </c>
    </row>
    <row r="14" ht="15" customHeight="1" s="11">
      <c r="A14" s="22" t="inlineStr">
        <is>
          <t>R38</t>
        </is>
      </c>
      <c r="B14" s="23">
        <f>Raw_llama_cpp!Z14</f>
        <v/>
      </c>
      <c r="C14" s="23">
        <f>Raw_llama_cpp!AA14</f>
        <v/>
      </c>
      <c r="D14" s="23">
        <f>Raw_llama_cpp!AB14</f>
        <v/>
      </c>
      <c r="E14" s="23">
        <f>Raw_llama_cpp!AC14</f>
        <v/>
      </c>
    </row>
    <row r="15" ht="15" customHeight="1" s="11">
      <c r="A15" s="22" t="inlineStr">
        <is>
          <t>R39</t>
        </is>
      </c>
      <c r="B15" s="23">
        <f>Raw_llama_cpp!Z15</f>
        <v/>
      </c>
      <c r="C15" s="23">
        <f>Raw_llama_cpp!AA15</f>
        <v/>
      </c>
      <c r="D15" s="23">
        <f>Raw_llama_cpp!AB15</f>
        <v/>
      </c>
      <c r="E15" s="23">
        <f>Raw_llama_cpp!AC15</f>
        <v/>
      </c>
    </row>
    <row r="16">
      <c r="A16" t="inlineStr">
        <is>
          <t>R40</t>
        </is>
      </c>
      <c r="B16">
        <f>Raw_llama_cpp!Z16</f>
        <v/>
      </c>
      <c r="C16">
        <f>Raw_llama_cpp!AA16</f>
        <v/>
      </c>
      <c r="D16">
        <f>Raw_llama_cpp!AB16</f>
        <v/>
      </c>
      <c r="E16">
        <f>Raw_llama_cpp!AC16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2026-06-21T05:27:04Z</dcterms:created>
  <dcterms:modified xsi:type="dcterms:W3CDTF">2026-06-21T19:06:13Z</dcterms:modified>
  <cp:revision>1</cp:revision>
</cp:coreProperties>
</file>